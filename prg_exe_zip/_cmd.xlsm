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s\prg_exe_zip\"/>
    </mc:Choice>
  </mc:AlternateContent>
  <xr:revisionPtr revIDLastSave="0" documentId="13_ncr:1_{FA16463F-25B7-491A-B856-2A3D36BD5CAB}" xr6:coauthVersionLast="47" xr6:coauthVersionMax="47" xr10:uidLastSave="{00000000-0000-0000-0000-000000000000}"/>
  <bookViews>
    <workbookView xWindow="1980" yWindow="-120" windowWidth="26940" windowHeight="16440" xr2:uid="{BBA8EBA1-D834-4222-90AE-2DBC85411BC3}"/>
  </bookViews>
  <sheets>
    <sheet name="コマンド" sheetId="2" r:id="rId1"/>
    <sheet name="プログラムリスト" sheetId="3" r:id="rId2"/>
  </sheets>
  <externalReferences>
    <externalReference r:id="rId3"/>
  </externalReferences>
  <definedNames>
    <definedName name="_1固定支出_グラフ_月">OFFSET([1]固定支出!$A$7,1,0,COUNTA([1]固定支出!$A$7:$A$88)-1,1)</definedName>
    <definedName name="_xlnm._FilterDatabase" localSheetId="0" hidden="1">コマンド!$A$8:$E$150</definedName>
    <definedName name="_xlnm._FilterDatabase" localSheetId="1" hidden="1">プログラムリスト!$A$1:$B$200</definedName>
    <definedName name="最終更新_日付">VLOOKUP("最終更新 日付",範囲_SHT現状_費目名to金額列,COLUMNS(範囲_SHT現状_費目名to金額列),FALSE)</definedName>
    <definedName name="次月_月">!$V$10</definedName>
    <definedName name="次月_年">!$V$9</definedName>
    <definedName name="前月_月">!$V$6</definedName>
    <definedName name="前月_年">!$V$5</definedName>
    <definedName name="当月_月">!$V$8</definedName>
    <definedName name="当月_現在日">IF((最終更新_日付&gt;当月_末日),当月_末日,IF((最終更新_日付&gt;当月_初日),最終更新_日付,当月_初日))</definedName>
    <definedName name="当月_初日">!$V$3</definedName>
    <definedName name="当月_年">!$V$7</definedName>
    <definedName name="当月_末日">!$V$4</definedName>
    <definedName name="当月シート名">RIGHT(CELL("filename",INDIRECT("A1")),LEN(CELL("filename",INDIRECT("A1")))-FIND("]",CELL("filename",INDIRECT("A1"))))</definedName>
    <definedName name="範囲_SHT現状_金額列">INDIRECT("'現状'!C"&amp;MATCH("*金額列*",INDIRECT("現状!$1:$1"),0)&amp;":C"&amp;MATCH("*金額列*",INDIRECT("現状!$1:$1"),0),FALSE)</definedName>
    <definedName name="範囲_SHT現状_費目名to金額列">INDIRECT("'現状'!C"&amp;COLUMN(範囲_SHT現状_費目名列)&amp;":C"&amp;COLUMN(範囲_SHT現状_金額列),FALSE)</definedName>
    <definedName name="範囲_SHT現状_費目名列">INDIRECT("'現状'!C"&amp;MATCH("*費目名列*",INDIRECT("現状!$1:$1"),0)&amp;":C"&amp;MATCH("*費目名列*",INDIRECT("現状!$1:$1"),0),FALSE)</definedName>
    <definedName name="本日">!$V$2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50" i="2" l="1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103" i="2"/>
  <c r="E101" i="2"/>
  <c r="D101" i="2"/>
  <c r="E9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D98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2" i="2"/>
  <c r="D100" i="2"/>
  <c r="D99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Tatsuya Endo</author>
  </authors>
  <commentList>
    <comment ref="A47" authorId="0" shapeId="0" xr:uid="{38D4FD76-F380-41D2-96FC-2C5F7A2E96EF}">
      <text>
        <r>
          <rPr>
            <sz val="9"/>
            <color indexed="81"/>
            <rFont val="MS P ゴシック"/>
            <family val="3"/>
            <charset val="128"/>
          </rPr>
          <t>シェアウェアなので自動圧縮対象外。自分で圧縮後、リネームしてコミットすること</t>
        </r>
      </text>
    </comment>
    <comment ref="A52" authorId="0" shapeId="0" xr:uid="{C58772E1-9179-4D4D-B00F-74D2F6C7CBF4}">
      <text>
        <r>
          <rPr>
            <sz val="9"/>
            <color indexed="81"/>
            <rFont val="MS P ゴシック"/>
            <family val="3"/>
            <charset val="128"/>
          </rPr>
          <t>シェアウェアなので自動圧縮対象外。自分で圧縮後、リネームしてコミットすること</t>
        </r>
      </text>
    </comment>
  </commentList>
</comments>
</file>

<file path=xl/sharedStrings.xml><?xml version="1.0" encoding="utf-8"?>
<sst xmlns="http://schemas.openxmlformats.org/spreadsheetml/2006/main" count="305" uniqueCount="120">
  <si>
    <t>対象フォルダパス</t>
    <rPh sb="0" eb="2">
      <t>タイショウ</t>
    </rPh>
    <phoneticPr fontId="3"/>
  </si>
  <si>
    <t>C:\prg_exe</t>
    <phoneticPr fontId="3"/>
  </si>
  <si>
    <t>圧縮実行ファイルパス</t>
    <rPh sb="0" eb="2">
      <t>アッシュク</t>
    </rPh>
    <rPh sb="2" eb="4">
      <t>ジッコウ</t>
    </rPh>
    <phoneticPr fontId="3"/>
  </si>
  <si>
    <t>C:\prg_exe\7-ZipPortable\App\7-Zip64\7z.exe</t>
  </si>
  <si>
    <t>圧縮ファイル格納先</t>
    <rPh sb="0" eb="2">
      <t>アッシュク</t>
    </rPh>
    <rPh sb="6" eb="8">
      <t>カクノウ</t>
    </rPh>
    <rPh sb="8" eb="9">
      <t>サキ</t>
    </rPh>
    <phoneticPr fontId="3"/>
  </si>
  <si>
    <t>7-ZipPortable</t>
  </si>
  <si>
    <t>AiperDiffex</t>
  </si>
  <si>
    <t>AiperEditex</t>
  </si>
  <si>
    <t>Ancia</t>
  </si>
  <si>
    <t>Audacity</t>
  </si>
  <si>
    <t>EasyShot</t>
  </si>
  <si>
    <t>EpTree</t>
  </si>
  <si>
    <t>Eptree_vb</t>
  </si>
  <si>
    <t>Everything</t>
  </si>
  <si>
    <t>folders</t>
  </si>
  <si>
    <t>freemind</t>
  </si>
  <si>
    <t>Gtags</t>
  </si>
  <si>
    <t>Hidemaru</t>
  </si>
  <si>
    <t>iThoughts</t>
  </si>
  <si>
    <t>kazoechao</t>
  </si>
  <si>
    <t>MassiGra</t>
  </si>
  <si>
    <t>PDFX_Vwr_Port</t>
  </si>
  <si>
    <t>Rapture</t>
  </si>
  <si>
    <t>Stirling</t>
  </si>
  <si>
    <t>TresGrep</t>
  </si>
  <si>
    <t>Vim</t>
  </si>
  <si>
    <t>WinMerge</t>
  </si>
  <si>
    <t>X-Finder</t>
  </si>
  <si>
    <t>DOSコマンド(圧縮)</t>
    <rPh sb="8" eb="10">
      <t>アッシュク</t>
    </rPh>
    <phoneticPr fontId="2"/>
  </si>
  <si>
    <t>DOSコマンド(Githubからダウンロード)</t>
    <phoneticPr fontId="2"/>
  </si>
  <si>
    <t>Github URL</t>
    <phoneticPr fontId="3"/>
  </si>
  <si>
    <t>フォルダ名</t>
    <rPh sb="4" eb="5">
      <t>メイ</t>
    </rPh>
    <phoneticPr fontId="3"/>
  </si>
  <si>
    <t>対象</t>
    <rPh sb="0" eb="2">
      <t>タイショウ</t>
    </rPh>
    <phoneticPr fontId="3"/>
  </si>
  <si>
    <t>afxw64</t>
  </si>
  <si>
    <t>AGCRec</t>
  </si>
  <si>
    <t>AGDRec</t>
  </si>
  <si>
    <t>AlarmReminder</t>
  </si>
  <si>
    <t>AutoHotkey</t>
  </si>
  <si>
    <t>AutoMute</t>
  </si>
  <si>
    <t>cCalc</t>
  </si>
  <si>
    <t>CDExPortable</t>
  </si>
  <si>
    <t>cdrtfePortable</t>
  </si>
  <si>
    <t>CLCL</t>
  </si>
  <si>
    <t>clibor</t>
  </si>
  <si>
    <t>CoreTemp64</t>
  </si>
  <si>
    <t>CrystalDiskInfo</t>
  </si>
  <si>
    <t>CrystalDiskMark</t>
  </si>
  <si>
    <t>Ctags</t>
  </si>
  <si>
    <t>DeInput</t>
  </si>
  <si>
    <t>diskinfo64</t>
  </si>
  <si>
    <t>EcoDecoTooL</t>
  </si>
  <si>
    <t>FCChecker</t>
  </si>
  <si>
    <t>filetypesman-x64</t>
  </si>
  <si>
    <t>FireFileCopy</t>
  </si>
  <si>
    <t>FirefoxPortable</t>
  </si>
  <si>
    <t>FontChanger</t>
  </si>
  <si>
    <t>foobar2000</t>
  </si>
  <si>
    <t>GIMPPortable</t>
  </si>
  <si>
    <t>GMHDDSCAN</t>
  </si>
  <si>
    <t>HNXgrep</t>
  </si>
  <si>
    <t>Icaros</t>
  </si>
  <si>
    <t>ImgBurn</t>
  </si>
  <si>
    <t>ImgCmbApp</t>
  </si>
  <si>
    <t>KeePass</t>
  </si>
  <si>
    <t>LagMirror</t>
  </si>
  <si>
    <t>Lame</t>
  </si>
  <si>
    <t>LiName</t>
  </si>
  <si>
    <t>LplsShlx64</t>
  </si>
  <si>
    <t>MiGrep</t>
  </si>
  <si>
    <t>MP3GainPortable</t>
  </si>
  <si>
    <t>Mp3Tag</t>
  </si>
  <si>
    <t>MPC-BE</t>
  </si>
  <si>
    <t>NeeView</t>
  </si>
  <si>
    <t>NetEnum</t>
  </si>
  <si>
    <t>O2Handler</t>
  </si>
  <si>
    <t>OpenVPNPortable</t>
  </si>
  <si>
    <t>PDFunny</t>
  </si>
  <si>
    <t>PDF-XChangeEditor</t>
  </si>
  <si>
    <t>pic2pdf</t>
  </si>
  <si>
    <t>radikool</t>
  </si>
  <si>
    <t>Recuva</t>
  </si>
  <si>
    <t>regBaron</t>
  </si>
  <si>
    <t>ShadowExplorerPortable</t>
  </si>
  <si>
    <t>Shukusen</t>
  </si>
  <si>
    <t>SkypePortable</t>
  </si>
  <si>
    <t>SuperTagEditor</t>
  </si>
  <si>
    <t>TablacusExplorer</t>
  </si>
  <si>
    <t>TeraTerm</t>
  </si>
  <si>
    <t>ThunderbirdPortable</t>
  </si>
  <si>
    <t>TVClock</t>
  </si>
  <si>
    <t>VbTimer</t>
  </si>
  <si>
    <t>VbWinPos</t>
  </si>
  <si>
    <t>Vivaldi</t>
  </si>
  <si>
    <t>Win32DiskImager</t>
  </si>
  <si>
    <t>WinaeroTweaker</t>
  </si>
  <si>
    <t>WinSCP</t>
  </si>
  <si>
    <t>WinShot</t>
  </si>
  <si>
    <t>WinSplitRevolution</t>
  </si>
  <si>
    <t>xdoc2txt</t>
  </si>
  <si>
    <t>○</t>
  </si>
  <si>
    <t>×</t>
  </si>
  <si>
    <t>C:\programs\prg_exe_zip</t>
    <phoneticPr fontId="3"/>
  </si>
  <si>
    <t>https://github.com/draemonash2/programs/raw/master/prg_exe_zip</t>
    <phoneticPr fontId="3"/>
  </si>
  <si>
    <t>NTFSLinksView</t>
  </si>
  <si>
    <t>NTFSLinksView</t>
    <phoneticPr fontId="2"/>
  </si>
  <si>
    <t>RLogin</t>
  </si>
  <si>
    <t>SakuraEditer</t>
  </si>
  <si>
    <t>存在確認</t>
    <rPh sb="0" eb="2">
      <t>ソンザイ</t>
    </rPh>
    <rPh sb="2" eb="4">
      <t>カクニン</t>
    </rPh>
    <phoneticPr fontId="2"/>
  </si>
  <si>
    <t>プログラム名</t>
    <rPh sb="5" eb="6">
      <t>メイ</t>
    </rPh>
    <phoneticPr fontId="2"/>
  </si>
  <si>
    <t>iThoughts_5.25</t>
  </si>
  <si>
    <t>iThoughts_5.27</t>
  </si>
  <si>
    <t>iThoughts_5.28</t>
  </si>
  <si>
    <t>VSCode</t>
  </si>
  <si>
    <t>AddToSystemPathes.bat.lnk</t>
  </si>
  <si>
    <t>iThoughts_5.29</t>
  </si>
  <si>
    <t>GoogleChromePortable64</t>
  </si>
  <si>
    <t>Vim80</t>
  </si>
  <si>
    <t>●</t>
    <phoneticPr fontId="2"/>
  </si>
  <si>
    <t>start https://github.com/draemonash2/programs/raw/master/prg_exe_zip/GoogleChromePortable64.zip.001
start https://github.com/draemonash2/programs/raw/master/prg_exe_zip/GoogleChromePortable64.zip.002
start https://github.com/draemonash2/programs/raw/master/prg_exe_zip/GoogleChromePortable64.zip.003
start https://github.com/draemonash2/programs/raw/master/prg_exe_zip/GoogleChromePortable64.zip.004
start https://github.com/draemonash2/programs/raw/master/prg_exe_zip/GoogleChromePortable64.zip.005</t>
    <phoneticPr fontId="2"/>
  </si>
  <si>
    <t>×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</si>
</sst>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9"/>
      <color theme="1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sz val="6"/>
      <name val="ＭＳ ゴシック"/>
      <family val="2"/>
      <charset val="128"/>
    </font>
    <font>
      <sz val="6"/>
      <name val="ＭＳ ゴシック"/>
      <family val="3"/>
      <charset val="128"/>
    </font>
    <font>
      <sz val="9"/>
      <color rgb="FF000000"/>
      <name val="ＭＳ ゴシック"/>
      <family val="3"/>
      <charset val="128"/>
    </font>
    <font>
      <u/>
      <sz val="9"/>
      <color theme="10"/>
      <name val="ＭＳ ゴシック"/>
      <family val="2"/>
      <charset val="128"/>
    </font>
    <font>
      <sz val="9"/>
      <color rgb="FFFF0000"/>
      <name val="ＭＳ ゴシック"/>
      <family val="3"/>
      <charset val="128"/>
    </font>
    <font>
      <sz val="9"/>
      <color indexed="81"/>
      <name val="MS P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top"/>
    </xf>
    <xf numFmtId="0" fontId="5" fillId="0" borderId="0" applyNumberForma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1" fillId="0" borderId="0" xfId="1">
      <alignment vertical="top"/>
    </xf>
    <xf numFmtId="0" fontId="1" fillId="0" borderId="1" xfId="1" applyBorder="1">
      <alignment vertical="top"/>
    </xf>
    <xf numFmtId="0" fontId="1" fillId="2" borderId="1" xfId="1" applyFill="1" applyBorder="1">
      <alignment vertical="top"/>
    </xf>
    <xf numFmtId="0" fontId="1" fillId="2" borderId="1" xfId="1" applyFill="1" applyBorder="1" applyAlignment="1">
      <alignment horizontal="center" vertical="top"/>
    </xf>
    <xf numFmtId="0" fontId="1" fillId="0" borderId="0" xfId="1" applyAlignment="1">
      <alignment horizontal="center" vertical="top"/>
    </xf>
    <xf numFmtId="0" fontId="1" fillId="0" borderId="1" xfId="1" applyBorder="1" applyAlignment="1">
      <alignment horizontal="center" vertical="top"/>
    </xf>
    <xf numFmtId="0" fontId="5" fillId="0" borderId="0" xfId="2" applyAlignment="1">
      <alignment vertical="top"/>
    </xf>
    <xf numFmtId="0" fontId="6" fillId="0" borderId="1" xfId="1" applyFont="1" applyFill="1" applyBorder="1" applyAlignment="1">
      <alignment vertical="top" wrapText="1"/>
    </xf>
    <xf numFmtId="0" fontId="1" fillId="3" borderId="1" xfId="1" applyFill="1" applyBorder="1" applyAlignment="1">
      <alignment horizontal="center" vertical="top"/>
    </xf>
  </cellXfs>
  <cellStyles count="3">
    <cellStyle name="ハイパーリンク" xfId="2" builtinId="8"/>
    <cellStyle name="標準" xfId="0" builtinId="0"/>
    <cellStyle name="標準 2" xfId="1" xr:uid="{66C237F2-0242-484E-A2B9-C5A9B1A8DFA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9525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ZIP圧縮を実行！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Githubからダウンロードを実行！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/Dropbox/100_Documents/210_&#12304;&#34915;&#39135;&#20303;&#12305;&#23478;&#35336;/300_Mny_AccountsBoo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Info"/>
      <sheetName val="10"/>
      <sheetName val="11"/>
      <sheetName val="12"/>
      <sheetName val="収支予想"/>
      <sheetName val="貯金残高推移"/>
      <sheetName val="固定支出"/>
      <sheetName val="ボーナス使い道_201412"/>
      <sheetName val="Sheet3"/>
      <sheetName val="Sheet2"/>
      <sheetName val="Sheet5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A7">
            <v>40634</v>
          </cell>
        </row>
        <row r="8">
          <cell r="A8">
            <v>40664</v>
          </cell>
        </row>
        <row r="9">
          <cell r="A9">
            <v>40695</v>
          </cell>
        </row>
        <row r="10">
          <cell r="A10">
            <v>40725</v>
          </cell>
        </row>
        <row r="11">
          <cell r="A11">
            <v>40756</v>
          </cell>
        </row>
        <row r="12">
          <cell r="A12">
            <v>40787</v>
          </cell>
        </row>
        <row r="13">
          <cell r="A13">
            <v>40817</v>
          </cell>
        </row>
        <row r="14">
          <cell r="A14">
            <v>40848</v>
          </cell>
        </row>
        <row r="15">
          <cell r="A15">
            <v>40878</v>
          </cell>
        </row>
        <row r="16">
          <cell r="A16">
            <v>40909</v>
          </cell>
        </row>
        <row r="17">
          <cell r="A17">
            <v>40940</v>
          </cell>
        </row>
        <row r="18">
          <cell r="A18">
            <v>40969</v>
          </cell>
        </row>
        <row r="19">
          <cell r="A19">
            <v>41000</v>
          </cell>
        </row>
        <row r="20">
          <cell r="A20">
            <v>41030</v>
          </cell>
        </row>
        <row r="21">
          <cell r="A21">
            <v>41061</v>
          </cell>
        </row>
        <row r="22">
          <cell r="A22">
            <v>41091</v>
          </cell>
        </row>
        <row r="23">
          <cell r="A23">
            <v>41122</v>
          </cell>
        </row>
        <row r="24">
          <cell r="A24">
            <v>41153</v>
          </cell>
        </row>
        <row r="25">
          <cell r="A25">
            <v>41183</v>
          </cell>
        </row>
        <row r="26">
          <cell r="A26">
            <v>41214</v>
          </cell>
        </row>
        <row r="27">
          <cell r="A27">
            <v>41244</v>
          </cell>
        </row>
        <row r="28">
          <cell r="A28">
            <v>41275</v>
          </cell>
        </row>
        <row r="29">
          <cell r="A29">
            <v>41306</v>
          </cell>
        </row>
        <row r="30">
          <cell r="A30">
            <v>41334</v>
          </cell>
        </row>
        <row r="31">
          <cell r="A31">
            <v>41365</v>
          </cell>
        </row>
        <row r="32">
          <cell r="A32">
            <v>41395</v>
          </cell>
        </row>
        <row r="33">
          <cell r="A33">
            <v>41426</v>
          </cell>
        </row>
        <row r="34">
          <cell r="A34">
            <v>41456</v>
          </cell>
        </row>
        <row r="35">
          <cell r="A35">
            <v>41487</v>
          </cell>
        </row>
        <row r="36">
          <cell r="A36">
            <v>41518</v>
          </cell>
        </row>
        <row r="37">
          <cell r="A37">
            <v>41548</v>
          </cell>
        </row>
        <row r="38">
          <cell r="A38">
            <v>41579</v>
          </cell>
        </row>
        <row r="39">
          <cell r="A39">
            <v>41609</v>
          </cell>
        </row>
        <row r="40">
          <cell r="A40">
            <v>41640</v>
          </cell>
        </row>
        <row r="41">
          <cell r="A41">
            <v>41671</v>
          </cell>
        </row>
        <row r="42">
          <cell r="A42">
            <v>41699</v>
          </cell>
        </row>
        <row r="43">
          <cell r="A43">
            <v>41730</v>
          </cell>
        </row>
        <row r="44">
          <cell r="A44">
            <v>41760</v>
          </cell>
        </row>
        <row r="45">
          <cell r="A45">
            <v>41791</v>
          </cell>
        </row>
        <row r="46">
          <cell r="A46">
            <v>41821</v>
          </cell>
        </row>
        <row r="47">
          <cell r="A47">
            <v>41852</v>
          </cell>
        </row>
        <row r="48">
          <cell r="A48">
            <v>41883</v>
          </cell>
        </row>
        <row r="49">
          <cell r="A49">
            <v>41913</v>
          </cell>
        </row>
        <row r="50">
          <cell r="A50">
            <v>41944</v>
          </cell>
        </row>
        <row r="51">
          <cell r="A51">
            <v>41974</v>
          </cell>
        </row>
        <row r="52">
          <cell r="A52">
            <v>42005</v>
          </cell>
        </row>
        <row r="53">
          <cell r="A53">
            <v>42036</v>
          </cell>
        </row>
        <row r="54">
          <cell r="A54">
            <v>42064</v>
          </cell>
        </row>
        <row r="55">
          <cell r="A55">
            <v>42095</v>
          </cell>
        </row>
        <row r="56">
          <cell r="A56">
            <v>42125</v>
          </cell>
        </row>
        <row r="57">
          <cell r="A57">
            <v>42156</v>
          </cell>
        </row>
        <row r="58">
          <cell r="A58">
            <v>42186</v>
          </cell>
        </row>
        <row r="59">
          <cell r="A59">
            <v>42217</v>
          </cell>
        </row>
        <row r="60">
          <cell r="A60">
            <v>42248</v>
          </cell>
        </row>
        <row r="61">
          <cell r="A61">
            <v>42278</v>
          </cell>
        </row>
        <row r="62">
          <cell r="A62">
            <v>42309</v>
          </cell>
        </row>
        <row r="63">
          <cell r="A63">
            <v>42339</v>
          </cell>
        </row>
        <row r="64">
          <cell r="A64">
            <v>42370</v>
          </cell>
        </row>
        <row r="65">
          <cell r="A65">
            <v>42401</v>
          </cell>
        </row>
        <row r="66">
          <cell r="A66">
            <v>42430</v>
          </cell>
        </row>
        <row r="67">
          <cell r="A67">
            <v>42461</v>
          </cell>
        </row>
        <row r="68">
          <cell r="A68">
            <v>42491</v>
          </cell>
        </row>
        <row r="69">
          <cell r="A69">
            <v>42522</v>
          </cell>
        </row>
        <row r="70">
          <cell r="A70">
            <v>42552</v>
          </cell>
        </row>
        <row r="71">
          <cell r="A71">
            <v>42583</v>
          </cell>
        </row>
        <row r="72">
          <cell r="A72">
            <v>42614</v>
          </cell>
        </row>
        <row r="73">
          <cell r="A73">
            <v>42644</v>
          </cell>
        </row>
        <row r="74">
          <cell r="A74">
            <v>42675</v>
          </cell>
        </row>
        <row r="75">
          <cell r="A75">
            <v>42705</v>
          </cell>
        </row>
        <row r="76">
          <cell r="A76">
            <v>42736</v>
          </cell>
        </row>
        <row r="77">
          <cell r="A77">
            <v>42767</v>
          </cell>
        </row>
        <row r="78">
          <cell r="A78">
            <v>42795</v>
          </cell>
        </row>
        <row r="79">
          <cell r="A79">
            <v>42826</v>
          </cell>
        </row>
        <row r="80">
          <cell r="A80">
            <v>42856</v>
          </cell>
        </row>
        <row r="81">
          <cell r="A81">
            <v>42887</v>
          </cell>
        </row>
        <row r="82">
          <cell r="A82">
            <v>42917</v>
          </cell>
        </row>
        <row r="83">
          <cell r="A83">
            <v>42948</v>
          </cell>
        </row>
        <row r="84">
          <cell r="A84">
            <v>42979</v>
          </cell>
        </row>
        <row r="85">
          <cell r="A85">
            <v>43009</v>
          </cell>
        </row>
        <row r="86">
          <cell r="A86">
            <v>43040</v>
          </cell>
        </row>
        <row r="87">
          <cell r="A87">
            <v>43070</v>
          </cell>
        </row>
      </sheetData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C27D4-12C6-4444-8E32-E7594DB6D7DA}">
  <sheetPr codeName="Sheet1"/>
  <dimension ref="A2:E150"/>
  <sheetViews>
    <sheetView showGridLines="0" tabSelected="1" workbookViewId="0">
      <pane xSplit="2" ySplit="8" topLeftCell="C9" activePane="bottomRight" state="frozen"/>
      <selection pane="topRight" activeCell="B1" sqref="B1"/>
      <selection pane="bottomLeft" activeCell="A9" sqref="A9"/>
      <selection pane="bottomRight" activeCell="C9" sqref="C9"/>
    </sheetView>
  </sheetViews>
  <sheetFormatPr defaultRowHeight="11.25"/>
  <cols>
    <col min="1" max="1" width="9.33203125" style="5"/>
    <col min="2" max="2" width="26" style="1" bestFit="1" customWidth="1"/>
    <col min="3" max="4" width="112.83203125" style="1" customWidth="1"/>
    <col min="5" max="5" width="3" style="1" bestFit="1" customWidth="1"/>
    <col min="6" max="16384" width="9.33203125" style="1"/>
  </cols>
  <sheetData>
    <row r="2" spans="1:5">
      <c r="B2" s="3" t="s">
        <v>0</v>
      </c>
      <c r="C2" s="2" t="s">
        <v>1</v>
      </c>
    </row>
    <row r="3" spans="1:5">
      <c r="B3" s="3" t="s">
        <v>2</v>
      </c>
      <c r="C3" s="2" t="s">
        <v>3</v>
      </c>
    </row>
    <row r="4" spans="1:5">
      <c r="B4" s="3" t="s">
        <v>4</v>
      </c>
      <c r="C4" s="2" t="s">
        <v>101</v>
      </c>
    </row>
    <row r="5" spans="1:5">
      <c r="B5" s="3" t="s">
        <v>30</v>
      </c>
      <c r="C5" s="2" t="s">
        <v>102</v>
      </c>
    </row>
    <row r="6" spans="1:5">
      <c r="C6" s="7"/>
    </row>
    <row r="7" spans="1:5" ht="32.25" customHeight="1"/>
    <row r="8" spans="1:5">
      <c r="A8" s="4" t="s">
        <v>32</v>
      </c>
      <c r="B8" s="4" t="s">
        <v>31</v>
      </c>
      <c r="C8" s="4" t="s">
        <v>28</v>
      </c>
      <c r="D8" s="4" t="s">
        <v>29</v>
      </c>
    </row>
    <row r="9" spans="1:5">
      <c r="A9" s="6" t="s">
        <v>99</v>
      </c>
      <c r="B9" s="2" t="s">
        <v>5</v>
      </c>
      <c r="C9" s="2" t="str">
        <f t="shared" ref="C9:C72" si="0">IF(OR($A9="×",$A9=""),"",""""&amp;$C$3&amp;""" a"&amp;IF($A9="●"," -v50m","")&amp;" """&amp;$C$4&amp;"\"&amp;$B9&amp;".zip"" """&amp;$C$2&amp;"\"&amp;$B9&amp;"""")</f>
        <v>"C:\prg_exe\7-ZipPortable\App\7-Zip64\7z.exe" a "C:\programs\prg_exe_zip\7-ZipPortable.zip" "C:\prg_exe\7-ZipPortable"</v>
      </c>
      <c r="D9" s="2" t="str">
        <f>IF($A9&lt;&gt;"○","","start "&amp;$C$5&amp;"/"&amp;$B9&amp;".zip")</f>
        <v>start https://github.com/draemonash2/programs/raw/master/prg_exe_zip/7-ZipPortable.zip</v>
      </c>
      <c r="E9" s="1">
        <f>IF(B9="","",COUNTIF(プログラムリスト!A:A,コマンド!B9))</f>
        <v>1</v>
      </c>
    </row>
    <row r="10" spans="1:5">
      <c r="A10" s="6" t="s">
        <v>100</v>
      </c>
      <c r="B10" s="2" t="s">
        <v>33</v>
      </c>
      <c r="C10" s="2" t="str">
        <f t="shared" si="0"/>
        <v/>
      </c>
      <c r="D10" s="2" t="str">
        <f t="shared" ref="D10:D73" si="1">IF($A10&lt;&gt;"○","","start "&amp;$C$5&amp;"/"&amp;$B10&amp;".zip")</f>
        <v/>
      </c>
      <c r="E10" s="1">
        <f>IF(B10="","",COUNTIF(プログラムリスト!A:A,コマンド!B10))</f>
        <v>1</v>
      </c>
    </row>
    <row r="11" spans="1:5">
      <c r="A11" s="6" t="s">
        <v>100</v>
      </c>
      <c r="B11" s="2" t="s">
        <v>34</v>
      </c>
      <c r="C11" s="2" t="str">
        <f t="shared" si="0"/>
        <v/>
      </c>
      <c r="D11" s="2" t="str">
        <f t="shared" si="1"/>
        <v/>
      </c>
      <c r="E11" s="1">
        <f>IF(B11="","",COUNTIF(プログラムリスト!A:A,コマンド!B11))</f>
        <v>1</v>
      </c>
    </row>
    <row r="12" spans="1:5">
      <c r="A12" s="6" t="s">
        <v>100</v>
      </c>
      <c r="B12" s="2" t="s">
        <v>35</v>
      </c>
      <c r="C12" s="2" t="str">
        <f t="shared" si="0"/>
        <v/>
      </c>
      <c r="D12" s="2" t="str">
        <f t="shared" si="1"/>
        <v/>
      </c>
      <c r="E12" s="1">
        <f>IF(B12="","",COUNTIF(プログラムリスト!A:A,コマンド!B12))</f>
        <v>1</v>
      </c>
    </row>
    <row r="13" spans="1:5">
      <c r="A13" s="6" t="s">
        <v>99</v>
      </c>
      <c r="B13" s="2" t="s">
        <v>6</v>
      </c>
      <c r="C13" s="2" t="str">
        <f t="shared" si="0"/>
        <v>"C:\prg_exe\7-ZipPortable\App\7-Zip64\7z.exe" a "C:\programs\prg_exe_zip\AiperDiffex.zip" "C:\prg_exe\AiperDiffex"</v>
      </c>
      <c r="D13" s="2" t="str">
        <f t="shared" si="1"/>
        <v>start https://github.com/draemonash2/programs/raw/master/prg_exe_zip/AiperDiffex.zip</v>
      </c>
      <c r="E13" s="1">
        <f>IF(B13="","",COUNTIF(プログラムリスト!A:A,コマンド!B13))</f>
        <v>1</v>
      </c>
    </row>
    <row r="14" spans="1:5">
      <c r="A14" s="6" t="s">
        <v>99</v>
      </c>
      <c r="B14" s="2" t="s">
        <v>7</v>
      </c>
      <c r="C14" s="2" t="str">
        <f t="shared" si="0"/>
        <v>"C:\prg_exe\7-ZipPortable\App\7-Zip64\7z.exe" a "C:\programs\prg_exe_zip\AiperEditex.zip" "C:\prg_exe\AiperEditex"</v>
      </c>
      <c r="D14" s="2" t="str">
        <f t="shared" si="1"/>
        <v>start https://github.com/draemonash2/programs/raw/master/prg_exe_zip/AiperEditex.zip</v>
      </c>
      <c r="E14" s="1">
        <f>IF(B14="","",COUNTIF(プログラムリスト!A:A,コマンド!B14))</f>
        <v>1</v>
      </c>
    </row>
    <row r="15" spans="1:5">
      <c r="A15" s="6" t="s">
        <v>100</v>
      </c>
      <c r="B15" s="2" t="s">
        <v>36</v>
      </c>
      <c r="C15" s="2" t="str">
        <f t="shared" si="0"/>
        <v/>
      </c>
      <c r="D15" s="2" t="str">
        <f t="shared" si="1"/>
        <v/>
      </c>
      <c r="E15" s="1">
        <f>IF(B15="","",COUNTIF(プログラムリスト!A:A,コマンド!B15))</f>
        <v>1</v>
      </c>
    </row>
    <row r="16" spans="1:5">
      <c r="A16" s="6" t="s">
        <v>99</v>
      </c>
      <c r="B16" s="2" t="s">
        <v>8</v>
      </c>
      <c r="C16" s="2" t="str">
        <f t="shared" si="0"/>
        <v>"C:\prg_exe\7-ZipPortable\App\7-Zip64\7z.exe" a "C:\programs\prg_exe_zip\Ancia.zip" "C:\prg_exe\Ancia"</v>
      </c>
      <c r="D16" s="2" t="str">
        <f t="shared" si="1"/>
        <v>start https://github.com/draemonash2/programs/raw/master/prg_exe_zip/Ancia.zip</v>
      </c>
      <c r="E16" s="1">
        <f>IF(B16="","",COUNTIF(プログラムリスト!A:A,コマンド!B16))</f>
        <v>1</v>
      </c>
    </row>
    <row r="17" spans="1:5">
      <c r="A17" s="6" t="s">
        <v>99</v>
      </c>
      <c r="B17" s="2" t="s">
        <v>9</v>
      </c>
      <c r="C17" s="2" t="str">
        <f t="shared" si="0"/>
        <v>"C:\prg_exe\7-ZipPortable\App\7-Zip64\7z.exe" a "C:\programs\prg_exe_zip\Audacity.zip" "C:\prg_exe\Audacity"</v>
      </c>
      <c r="D17" s="2" t="str">
        <f t="shared" si="1"/>
        <v>start https://github.com/draemonash2/programs/raw/master/prg_exe_zip/Audacity.zip</v>
      </c>
      <c r="E17" s="1">
        <f>IF(B17="","",COUNTIF(プログラムリスト!A:A,コマンド!B17))</f>
        <v>1</v>
      </c>
    </row>
    <row r="18" spans="1:5">
      <c r="A18" s="6" t="s">
        <v>99</v>
      </c>
      <c r="B18" s="2" t="s">
        <v>37</v>
      </c>
      <c r="C18" s="2" t="str">
        <f t="shared" si="0"/>
        <v>"C:\prg_exe\7-ZipPortable\App\7-Zip64\7z.exe" a "C:\programs\prg_exe_zip\AutoHotkey.zip" "C:\prg_exe\AutoHotkey"</v>
      </c>
      <c r="D18" s="2" t="str">
        <f t="shared" si="1"/>
        <v>start https://github.com/draemonash2/programs/raw/master/prg_exe_zip/AutoHotkey.zip</v>
      </c>
      <c r="E18" s="1">
        <f>IF(B18="","",COUNTIF(プログラムリスト!A:A,コマンド!B18))</f>
        <v>1</v>
      </c>
    </row>
    <row r="19" spans="1:5">
      <c r="A19" s="6" t="s">
        <v>100</v>
      </c>
      <c r="B19" s="2" t="s">
        <v>38</v>
      </c>
      <c r="C19" s="2" t="str">
        <f t="shared" si="0"/>
        <v/>
      </c>
      <c r="D19" s="2" t="str">
        <f t="shared" si="1"/>
        <v/>
      </c>
      <c r="E19" s="1">
        <f>IF(B19="","",COUNTIF(プログラムリスト!A:A,コマンド!B19))</f>
        <v>1</v>
      </c>
    </row>
    <row r="20" spans="1:5">
      <c r="A20" s="6" t="s">
        <v>99</v>
      </c>
      <c r="B20" s="2" t="s">
        <v>39</v>
      </c>
      <c r="C20" s="2" t="str">
        <f t="shared" si="0"/>
        <v>"C:\prg_exe\7-ZipPortable\App\7-Zip64\7z.exe" a "C:\programs\prg_exe_zip\cCalc.zip" "C:\prg_exe\cCalc"</v>
      </c>
      <c r="D20" s="2" t="str">
        <f t="shared" si="1"/>
        <v>start https://github.com/draemonash2/programs/raw/master/prg_exe_zip/cCalc.zip</v>
      </c>
      <c r="E20" s="1">
        <f>IF(B20="","",COUNTIF(プログラムリスト!A:A,コマンド!B20))</f>
        <v>1</v>
      </c>
    </row>
    <row r="21" spans="1:5">
      <c r="A21" s="6" t="s">
        <v>100</v>
      </c>
      <c r="B21" s="2" t="s">
        <v>40</v>
      </c>
      <c r="C21" s="2" t="str">
        <f t="shared" si="0"/>
        <v/>
      </c>
      <c r="D21" s="2" t="str">
        <f t="shared" si="1"/>
        <v/>
      </c>
      <c r="E21" s="1">
        <f>IF(B21="","",COUNTIF(プログラムリスト!A:A,コマンド!B21))</f>
        <v>1</v>
      </c>
    </row>
    <row r="22" spans="1:5">
      <c r="A22" s="6" t="s">
        <v>100</v>
      </c>
      <c r="B22" s="2" t="s">
        <v>41</v>
      </c>
      <c r="C22" s="2" t="str">
        <f t="shared" si="0"/>
        <v/>
      </c>
      <c r="D22" s="2" t="str">
        <f t="shared" si="1"/>
        <v/>
      </c>
      <c r="E22" s="1">
        <f>IF(B22="","",COUNTIF(プログラムリスト!A:A,コマンド!B22))</f>
        <v>1</v>
      </c>
    </row>
    <row r="23" spans="1:5">
      <c r="A23" s="6" t="s">
        <v>100</v>
      </c>
      <c r="B23" s="2" t="s">
        <v>42</v>
      </c>
      <c r="C23" s="2" t="str">
        <f t="shared" si="0"/>
        <v/>
      </c>
      <c r="D23" s="2" t="str">
        <f t="shared" si="1"/>
        <v/>
      </c>
      <c r="E23" s="1">
        <f>IF(B23="","",COUNTIF(プログラムリスト!A:A,コマンド!B23))</f>
        <v>1</v>
      </c>
    </row>
    <row r="24" spans="1:5">
      <c r="A24" s="6" t="s">
        <v>100</v>
      </c>
      <c r="B24" s="2" t="s">
        <v>43</v>
      </c>
      <c r="C24" s="2" t="str">
        <f t="shared" si="0"/>
        <v/>
      </c>
      <c r="D24" s="2" t="str">
        <f t="shared" si="1"/>
        <v/>
      </c>
      <c r="E24" s="1">
        <f>IF(B24="","",COUNTIF(プログラムリスト!A:A,コマンド!B24))</f>
        <v>1</v>
      </c>
    </row>
    <row r="25" spans="1:5">
      <c r="A25" s="6" t="s">
        <v>100</v>
      </c>
      <c r="B25" s="2" t="s">
        <v>44</v>
      </c>
      <c r="C25" s="2" t="str">
        <f t="shared" si="0"/>
        <v/>
      </c>
      <c r="D25" s="2" t="str">
        <f t="shared" si="1"/>
        <v/>
      </c>
      <c r="E25" s="1">
        <f>IF(B25="","",COUNTIF(プログラムリスト!A:A,コマンド!B25))</f>
        <v>1</v>
      </c>
    </row>
    <row r="26" spans="1:5">
      <c r="A26" s="6" t="s">
        <v>100</v>
      </c>
      <c r="B26" s="2" t="s">
        <v>45</v>
      </c>
      <c r="C26" s="2" t="str">
        <f t="shared" si="0"/>
        <v/>
      </c>
      <c r="D26" s="2" t="str">
        <f t="shared" si="1"/>
        <v/>
      </c>
      <c r="E26" s="1">
        <f>IF(B26="","",COUNTIF(プログラムリスト!A:A,コマンド!B26))</f>
        <v>1</v>
      </c>
    </row>
    <row r="27" spans="1:5">
      <c r="A27" s="6" t="s">
        <v>100</v>
      </c>
      <c r="B27" s="2" t="s">
        <v>46</v>
      </c>
      <c r="C27" s="2" t="str">
        <f t="shared" si="0"/>
        <v/>
      </c>
      <c r="D27" s="2" t="str">
        <f t="shared" si="1"/>
        <v/>
      </c>
      <c r="E27" s="1">
        <f>IF(B27="","",COUNTIF(プログラムリスト!A:A,コマンド!B27))</f>
        <v>1</v>
      </c>
    </row>
    <row r="28" spans="1:5">
      <c r="A28" s="6" t="s">
        <v>99</v>
      </c>
      <c r="B28" s="2" t="s">
        <v>47</v>
      </c>
      <c r="C28" s="2" t="str">
        <f t="shared" si="0"/>
        <v>"C:\prg_exe\7-ZipPortable\App\7-Zip64\7z.exe" a "C:\programs\prg_exe_zip\Ctags.zip" "C:\prg_exe\Ctags"</v>
      </c>
      <c r="D28" s="2" t="str">
        <f t="shared" si="1"/>
        <v>start https://github.com/draemonash2/programs/raw/master/prg_exe_zip/Ctags.zip</v>
      </c>
      <c r="E28" s="1">
        <f>IF(B28="","",COUNTIF(プログラムリスト!A:A,コマンド!B28))</f>
        <v>1</v>
      </c>
    </row>
    <row r="29" spans="1:5">
      <c r="A29" s="6" t="s">
        <v>100</v>
      </c>
      <c r="B29" s="2" t="s">
        <v>48</v>
      </c>
      <c r="C29" s="2" t="str">
        <f t="shared" si="0"/>
        <v/>
      </c>
      <c r="D29" s="2" t="str">
        <f t="shared" si="1"/>
        <v/>
      </c>
      <c r="E29" s="1">
        <f>IF(B29="","",COUNTIF(プログラムリスト!A:A,コマンド!B29))</f>
        <v>1</v>
      </c>
    </row>
    <row r="30" spans="1:5">
      <c r="A30" s="6" t="s">
        <v>100</v>
      </c>
      <c r="B30" s="2" t="s">
        <v>49</v>
      </c>
      <c r="C30" s="2" t="str">
        <f t="shared" si="0"/>
        <v/>
      </c>
      <c r="D30" s="2" t="str">
        <f t="shared" si="1"/>
        <v/>
      </c>
      <c r="E30" s="1">
        <f>IF(B30="","",COUNTIF(プログラムリスト!A:A,コマンド!B30))</f>
        <v>1</v>
      </c>
    </row>
    <row r="31" spans="1:5">
      <c r="A31" s="6" t="s">
        <v>99</v>
      </c>
      <c r="B31" s="2" t="s">
        <v>10</v>
      </c>
      <c r="C31" s="2" t="str">
        <f t="shared" si="0"/>
        <v>"C:\prg_exe\7-ZipPortable\App\7-Zip64\7z.exe" a "C:\programs\prg_exe_zip\EasyShot.zip" "C:\prg_exe\EasyShot"</v>
      </c>
      <c r="D31" s="2" t="str">
        <f t="shared" si="1"/>
        <v>start https://github.com/draemonash2/programs/raw/master/prg_exe_zip/EasyShot.zip</v>
      </c>
      <c r="E31" s="1">
        <f>IF(B31="","",COUNTIF(プログラムリスト!A:A,コマンド!B31))</f>
        <v>1</v>
      </c>
    </row>
    <row r="32" spans="1:5">
      <c r="A32" s="6" t="s">
        <v>100</v>
      </c>
      <c r="B32" s="2" t="s">
        <v>50</v>
      </c>
      <c r="C32" s="2" t="str">
        <f t="shared" si="0"/>
        <v/>
      </c>
      <c r="D32" s="2" t="str">
        <f t="shared" si="1"/>
        <v/>
      </c>
      <c r="E32" s="1">
        <f>IF(B32="","",COUNTIF(プログラムリスト!A:A,コマンド!B32))</f>
        <v>1</v>
      </c>
    </row>
    <row r="33" spans="1:5">
      <c r="A33" s="6" t="s">
        <v>99</v>
      </c>
      <c r="B33" s="2" t="s">
        <v>11</v>
      </c>
      <c r="C33" s="2" t="str">
        <f t="shared" si="0"/>
        <v>"C:\prg_exe\7-ZipPortable\App\7-Zip64\7z.exe" a "C:\programs\prg_exe_zip\EpTree.zip" "C:\prg_exe\EpTree"</v>
      </c>
      <c r="D33" s="2" t="str">
        <f t="shared" si="1"/>
        <v>start https://github.com/draemonash2/programs/raw/master/prg_exe_zip/EpTree.zip</v>
      </c>
      <c r="E33" s="1">
        <f>IF(B33="","",COUNTIF(プログラムリスト!A:A,コマンド!B33))</f>
        <v>1</v>
      </c>
    </row>
    <row r="34" spans="1:5">
      <c r="A34" s="6" t="s">
        <v>99</v>
      </c>
      <c r="B34" s="2" t="s">
        <v>12</v>
      </c>
      <c r="C34" s="2" t="str">
        <f t="shared" si="0"/>
        <v>"C:\prg_exe\7-ZipPortable\App\7-Zip64\7z.exe" a "C:\programs\prg_exe_zip\Eptree_vb.zip" "C:\prg_exe\Eptree_vb"</v>
      </c>
      <c r="D34" s="2" t="str">
        <f t="shared" si="1"/>
        <v>start https://github.com/draemonash2/programs/raw/master/prg_exe_zip/Eptree_vb.zip</v>
      </c>
      <c r="E34" s="1">
        <f>IF(B34="","",COUNTIF(プログラムリスト!A:A,コマンド!B34))</f>
        <v>1</v>
      </c>
    </row>
    <row r="35" spans="1:5">
      <c r="A35" s="6" t="s">
        <v>99</v>
      </c>
      <c r="B35" s="2" t="s">
        <v>13</v>
      </c>
      <c r="C35" s="2" t="str">
        <f t="shared" si="0"/>
        <v>"C:\prg_exe\7-ZipPortable\App\7-Zip64\7z.exe" a "C:\programs\prg_exe_zip\Everything.zip" "C:\prg_exe\Everything"</v>
      </c>
      <c r="D35" s="2" t="str">
        <f t="shared" si="1"/>
        <v>start https://github.com/draemonash2/programs/raw/master/prg_exe_zip/Everything.zip</v>
      </c>
      <c r="E35" s="1">
        <f>IF(B35="","",COUNTIF(プログラムリスト!A:A,コマンド!B35))</f>
        <v>1</v>
      </c>
    </row>
    <row r="36" spans="1:5">
      <c r="A36" s="6" t="s">
        <v>99</v>
      </c>
      <c r="B36" s="2" t="s">
        <v>51</v>
      </c>
      <c r="C36" s="2" t="str">
        <f t="shared" si="0"/>
        <v>"C:\prg_exe\7-ZipPortable\App\7-Zip64\7z.exe" a "C:\programs\prg_exe_zip\FCChecker.zip" "C:\prg_exe\FCChecker"</v>
      </c>
      <c r="D36" s="2" t="str">
        <f t="shared" si="1"/>
        <v>start https://github.com/draemonash2/programs/raw/master/prg_exe_zip/FCChecker.zip</v>
      </c>
      <c r="E36" s="1">
        <f>IF(B36="","",COUNTIF(プログラムリスト!A:A,コマンド!B36))</f>
        <v>1</v>
      </c>
    </row>
    <row r="37" spans="1:5">
      <c r="A37" s="6" t="s">
        <v>100</v>
      </c>
      <c r="B37" s="2" t="s">
        <v>52</v>
      </c>
      <c r="C37" s="2" t="str">
        <f t="shared" si="0"/>
        <v/>
      </c>
      <c r="D37" s="2" t="str">
        <f t="shared" si="1"/>
        <v/>
      </c>
      <c r="E37" s="1">
        <f>IF(B37="","",COUNTIF(プログラムリスト!A:A,コマンド!B37))</f>
        <v>1</v>
      </c>
    </row>
    <row r="38" spans="1:5">
      <c r="A38" s="6" t="s">
        <v>100</v>
      </c>
      <c r="B38" s="2" t="s">
        <v>53</v>
      </c>
      <c r="C38" s="2" t="str">
        <f t="shared" si="0"/>
        <v/>
      </c>
      <c r="D38" s="2" t="str">
        <f t="shared" si="1"/>
        <v/>
      </c>
      <c r="E38" s="1">
        <f>IF(B38="","",COUNTIF(プログラムリスト!A:A,コマンド!B38))</f>
        <v>1</v>
      </c>
    </row>
    <row r="39" spans="1:5">
      <c r="A39" s="6" t="s">
        <v>100</v>
      </c>
      <c r="B39" s="2" t="s">
        <v>54</v>
      </c>
      <c r="C39" s="2" t="str">
        <f t="shared" si="0"/>
        <v/>
      </c>
      <c r="D39" s="2" t="str">
        <f t="shared" si="1"/>
        <v/>
      </c>
      <c r="E39" s="1">
        <f>IF(B39="","",COUNTIF(プログラムリスト!A:A,コマンド!B39))</f>
        <v>1</v>
      </c>
    </row>
    <row r="40" spans="1:5">
      <c r="A40" s="6" t="s">
        <v>99</v>
      </c>
      <c r="B40" s="2" t="s">
        <v>14</v>
      </c>
      <c r="C40" s="2" t="str">
        <f t="shared" si="0"/>
        <v>"C:\prg_exe\7-ZipPortable\App\7-Zip64\7z.exe" a "C:\programs\prg_exe_zip\folders.zip" "C:\prg_exe\folders"</v>
      </c>
      <c r="D40" s="2" t="str">
        <f t="shared" si="1"/>
        <v>start https://github.com/draemonash2/programs/raw/master/prg_exe_zip/folders.zip</v>
      </c>
      <c r="E40" s="1">
        <f>IF(B40="","",COUNTIF(プログラムリスト!A:A,コマンド!B40))</f>
        <v>1</v>
      </c>
    </row>
    <row r="41" spans="1:5">
      <c r="A41" s="6" t="s">
        <v>100</v>
      </c>
      <c r="B41" s="2" t="s">
        <v>55</v>
      </c>
      <c r="C41" s="2" t="str">
        <f t="shared" si="0"/>
        <v/>
      </c>
      <c r="D41" s="2" t="str">
        <f t="shared" si="1"/>
        <v/>
      </c>
      <c r="E41" s="1">
        <f>IF(B41="","",COUNTIF(プログラムリスト!A:A,コマンド!B41))</f>
        <v>1</v>
      </c>
    </row>
    <row r="42" spans="1:5">
      <c r="A42" s="6" t="s">
        <v>100</v>
      </c>
      <c r="B42" s="2" t="s">
        <v>56</v>
      </c>
      <c r="C42" s="2" t="str">
        <f t="shared" si="0"/>
        <v/>
      </c>
      <c r="D42" s="2" t="str">
        <f t="shared" si="1"/>
        <v/>
      </c>
      <c r="E42" s="1">
        <f>IF(B42="","",COUNTIF(プログラムリスト!A:A,コマンド!B42))</f>
        <v>1</v>
      </c>
    </row>
    <row r="43" spans="1:5">
      <c r="A43" s="6" t="s">
        <v>99</v>
      </c>
      <c r="B43" s="2" t="s">
        <v>15</v>
      </c>
      <c r="C43" s="2" t="str">
        <f t="shared" si="0"/>
        <v>"C:\prg_exe\7-ZipPortable\App\7-Zip64\7z.exe" a "C:\programs\prg_exe_zip\freemind.zip" "C:\prg_exe\freemind"</v>
      </c>
      <c r="D43" s="2" t="str">
        <f t="shared" si="1"/>
        <v>start https://github.com/draemonash2/programs/raw/master/prg_exe_zip/freemind.zip</v>
      </c>
      <c r="E43" s="1">
        <f>IF(B43="","",COUNTIF(プログラムリスト!A:A,コマンド!B43))</f>
        <v>1</v>
      </c>
    </row>
    <row r="44" spans="1:5">
      <c r="A44" s="6" t="s">
        <v>100</v>
      </c>
      <c r="B44" s="2" t="s">
        <v>57</v>
      </c>
      <c r="C44" s="2" t="str">
        <f t="shared" si="0"/>
        <v/>
      </c>
      <c r="D44" s="2" t="str">
        <f t="shared" si="1"/>
        <v/>
      </c>
      <c r="E44" s="1">
        <f>IF(B44="","",COUNTIF(プログラムリスト!A:A,コマンド!B44))</f>
        <v>1</v>
      </c>
    </row>
    <row r="45" spans="1:5">
      <c r="A45" s="6" t="s">
        <v>100</v>
      </c>
      <c r="B45" s="2" t="s">
        <v>58</v>
      </c>
      <c r="C45" s="2" t="str">
        <f t="shared" si="0"/>
        <v/>
      </c>
      <c r="D45" s="2" t="str">
        <f t="shared" si="1"/>
        <v/>
      </c>
      <c r="E45" s="1">
        <f>IF(B45="","",COUNTIF(プログラムリスト!A:A,コマンド!B45))</f>
        <v>1</v>
      </c>
    </row>
    <row r="46" spans="1:5">
      <c r="A46" s="6" t="s">
        <v>99</v>
      </c>
      <c r="B46" s="2" t="s">
        <v>16</v>
      </c>
      <c r="C46" s="2" t="str">
        <f t="shared" si="0"/>
        <v>"C:\prg_exe\7-ZipPortable\App\7-Zip64\7z.exe" a "C:\programs\prg_exe_zip\Gtags.zip" "C:\prg_exe\Gtags"</v>
      </c>
      <c r="D46" s="2" t="str">
        <f t="shared" si="1"/>
        <v>start https://github.com/draemonash2/programs/raw/master/prg_exe_zip/Gtags.zip</v>
      </c>
      <c r="E46" s="1">
        <f>IF(B46="","",COUNTIF(プログラムリスト!A:A,コマンド!B46))</f>
        <v>1</v>
      </c>
    </row>
    <row r="47" spans="1:5">
      <c r="A47" s="9" t="s">
        <v>119</v>
      </c>
      <c r="B47" s="2" t="s">
        <v>17</v>
      </c>
      <c r="C47" s="2" t="str">
        <f t="shared" si="0"/>
        <v/>
      </c>
      <c r="D47" s="2" t="str">
        <f t="shared" si="1"/>
        <v/>
      </c>
      <c r="E47" s="1">
        <f>IF(B47="","",COUNTIF(プログラムリスト!A:A,コマンド!B47))</f>
        <v>1</v>
      </c>
    </row>
    <row r="48" spans="1:5">
      <c r="A48" s="6" t="s">
        <v>100</v>
      </c>
      <c r="B48" s="2" t="s">
        <v>59</v>
      </c>
      <c r="C48" s="2" t="str">
        <f t="shared" si="0"/>
        <v/>
      </c>
      <c r="D48" s="2" t="str">
        <f t="shared" si="1"/>
        <v/>
      </c>
      <c r="E48" s="1">
        <f>IF(B48="","",COUNTIF(プログラムリスト!A:A,コマンド!B48))</f>
        <v>1</v>
      </c>
    </row>
    <row r="49" spans="1:5">
      <c r="A49" s="6" t="s">
        <v>100</v>
      </c>
      <c r="B49" s="2" t="s">
        <v>60</v>
      </c>
      <c r="C49" s="2" t="str">
        <f t="shared" si="0"/>
        <v/>
      </c>
      <c r="D49" s="2" t="str">
        <f t="shared" si="1"/>
        <v/>
      </c>
      <c r="E49" s="1">
        <f>IF(B49="","",COUNTIF(プログラムリスト!A:A,コマンド!B49))</f>
        <v>1</v>
      </c>
    </row>
    <row r="50" spans="1:5">
      <c r="A50" s="6" t="s">
        <v>100</v>
      </c>
      <c r="B50" s="2" t="s">
        <v>61</v>
      </c>
      <c r="C50" s="2" t="str">
        <f t="shared" si="0"/>
        <v/>
      </c>
      <c r="D50" s="2" t="str">
        <f t="shared" si="1"/>
        <v/>
      </c>
      <c r="E50" s="1">
        <f>IF(B50="","",COUNTIF(プログラムリスト!A:A,コマンド!B50))</f>
        <v>1</v>
      </c>
    </row>
    <row r="51" spans="1:5">
      <c r="A51" s="6" t="s">
        <v>100</v>
      </c>
      <c r="B51" s="2" t="s">
        <v>62</v>
      </c>
      <c r="C51" s="2" t="str">
        <f t="shared" si="0"/>
        <v/>
      </c>
      <c r="D51" s="2" t="str">
        <f t="shared" si="1"/>
        <v/>
      </c>
      <c r="E51" s="1">
        <f>IF(B51="","",COUNTIF(プログラムリスト!A:A,コマンド!B51))</f>
        <v>1</v>
      </c>
    </row>
    <row r="52" spans="1:5">
      <c r="A52" s="9" t="s">
        <v>119</v>
      </c>
      <c r="B52" s="2" t="s">
        <v>18</v>
      </c>
      <c r="C52" s="2" t="str">
        <f t="shared" si="0"/>
        <v/>
      </c>
      <c r="D52" s="2" t="str">
        <f t="shared" si="1"/>
        <v/>
      </c>
      <c r="E52" s="1">
        <f>IF(B52="","",COUNTIF(プログラムリスト!A:A,コマンド!B52))</f>
        <v>1</v>
      </c>
    </row>
    <row r="53" spans="1:5">
      <c r="A53" s="6" t="s">
        <v>99</v>
      </c>
      <c r="B53" s="2" t="s">
        <v>19</v>
      </c>
      <c r="C53" s="2" t="str">
        <f t="shared" si="0"/>
        <v>"C:\prg_exe\7-ZipPortable\App\7-Zip64\7z.exe" a "C:\programs\prg_exe_zip\kazoechao.zip" "C:\prg_exe\kazoechao"</v>
      </c>
      <c r="D53" s="2" t="str">
        <f t="shared" si="1"/>
        <v>start https://github.com/draemonash2/programs/raw/master/prg_exe_zip/kazoechao.zip</v>
      </c>
      <c r="E53" s="1">
        <f>IF(B53="","",COUNTIF(プログラムリスト!A:A,コマンド!B53))</f>
        <v>1</v>
      </c>
    </row>
    <row r="54" spans="1:5">
      <c r="A54" s="6" t="s">
        <v>100</v>
      </c>
      <c r="B54" s="2" t="s">
        <v>63</v>
      </c>
      <c r="C54" s="2" t="str">
        <f t="shared" si="0"/>
        <v/>
      </c>
      <c r="D54" s="2" t="str">
        <f t="shared" si="1"/>
        <v/>
      </c>
      <c r="E54" s="1">
        <f>IF(B54="","",COUNTIF(プログラムリスト!A:A,コマンド!B54))</f>
        <v>1</v>
      </c>
    </row>
    <row r="55" spans="1:5">
      <c r="A55" s="6" t="s">
        <v>100</v>
      </c>
      <c r="B55" s="2" t="s">
        <v>64</v>
      </c>
      <c r="C55" s="2" t="str">
        <f t="shared" si="0"/>
        <v/>
      </c>
      <c r="D55" s="2" t="str">
        <f t="shared" si="1"/>
        <v/>
      </c>
      <c r="E55" s="1">
        <f>IF(B55="","",COUNTIF(プログラムリスト!A:A,コマンド!B55))</f>
        <v>1</v>
      </c>
    </row>
    <row r="56" spans="1:5">
      <c r="A56" s="6" t="s">
        <v>100</v>
      </c>
      <c r="B56" s="2" t="s">
        <v>65</v>
      </c>
      <c r="C56" s="2" t="str">
        <f t="shared" si="0"/>
        <v/>
      </c>
      <c r="D56" s="2" t="str">
        <f t="shared" si="1"/>
        <v/>
      </c>
      <c r="E56" s="1">
        <f>IF(B56="","",COUNTIF(プログラムリスト!A:A,コマンド!B56))</f>
        <v>1</v>
      </c>
    </row>
    <row r="57" spans="1:5">
      <c r="A57" s="6" t="s">
        <v>100</v>
      </c>
      <c r="B57" s="2" t="s">
        <v>66</v>
      </c>
      <c r="C57" s="2" t="str">
        <f t="shared" si="0"/>
        <v/>
      </c>
      <c r="D57" s="2" t="str">
        <f t="shared" si="1"/>
        <v/>
      </c>
      <c r="E57" s="1">
        <f>IF(B57="","",COUNTIF(プログラムリスト!A:A,コマンド!B57))</f>
        <v>1</v>
      </c>
    </row>
    <row r="58" spans="1:5">
      <c r="A58" s="6" t="s">
        <v>100</v>
      </c>
      <c r="B58" s="2" t="s">
        <v>67</v>
      </c>
      <c r="C58" s="2" t="str">
        <f t="shared" si="0"/>
        <v/>
      </c>
      <c r="D58" s="2" t="str">
        <f t="shared" si="1"/>
        <v/>
      </c>
      <c r="E58" s="1">
        <f>IF(B58="","",COUNTIF(プログラムリスト!A:A,コマンド!B58))</f>
        <v>1</v>
      </c>
    </row>
    <row r="59" spans="1:5">
      <c r="A59" s="6" t="s">
        <v>99</v>
      </c>
      <c r="B59" s="2" t="s">
        <v>20</v>
      </c>
      <c r="C59" s="2" t="str">
        <f t="shared" si="0"/>
        <v>"C:\prg_exe\7-ZipPortable\App\7-Zip64\7z.exe" a "C:\programs\prg_exe_zip\MassiGra.zip" "C:\prg_exe\MassiGra"</v>
      </c>
      <c r="D59" s="2" t="str">
        <f t="shared" si="1"/>
        <v>start https://github.com/draemonash2/programs/raw/master/prg_exe_zip/MassiGra.zip</v>
      </c>
      <c r="E59" s="1">
        <f>IF(B59="","",COUNTIF(プログラムリスト!A:A,コマンド!B59))</f>
        <v>1</v>
      </c>
    </row>
    <row r="60" spans="1:5">
      <c r="A60" s="6" t="s">
        <v>100</v>
      </c>
      <c r="B60" s="2" t="s">
        <v>68</v>
      </c>
      <c r="C60" s="2" t="str">
        <f t="shared" si="0"/>
        <v/>
      </c>
      <c r="D60" s="2" t="str">
        <f t="shared" si="1"/>
        <v/>
      </c>
      <c r="E60" s="1">
        <f>IF(B60="","",COUNTIF(プログラムリスト!A:A,コマンド!B60))</f>
        <v>1</v>
      </c>
    </row>
    <row r="61" spans="1:5">
      <c r="A61" s="6" t="s">
        <v>100</v>
      </c>
      <c r="B61" s="2" t="s">
        <v>69</v>
      </c>
      <c r="C61" s="2" t="str">
        <f t="shared" si="0"/>
        <v/>
      </c>
      <c r="D61" s="2" t="str">
        <f t="shared" si="1"/>
        <v/>
      </c>
      <c r="E61" s="1">
        <f>IF(B61="","",COUNTIF(プログラムリスト!A:A,コマンド!B61))</f>
        <v>1</v>
      </c>
    </row>
    <row r="62" spans="1:5">
      <c r="A62" s="6" t="s">
        <v>100</v>
      </c>
      <c r="B62" s="2" t="s">
        <v>70</v>
      </c>
      <c r="C62" s="2" t="str">
        <f t="shared" si="0"/>
        <v/>
      </c>
      <c r="D62" s="2" t="str">
        <f t="shared" si="1"/>
        <v/>
      </c>
      <c r="E62" s="1">
        <f>IF(B62="","",COUNTIF(プログラムリスト!A:A,コマンド!B62))</f>
        <v>1</v>
      </c>
    </row>
    <row r="63" spans="1:5">
      <c r="A63" s="6" t="s">
        <v>100</v>
      </c>
      <c r="B63" s="2" t="s">
        <v>71</v>
      </c>
      <c r="C63" s="2" t="str">
        <f t="shared" si="0"/>
        <v/>
      </c>
      <c r="D63" s="2" t="str">
        <f t="shared" si="1"/>
        <v/>
      </c>
      <c r="E63" s="1">
        <f>IF(B63="","",COUNTIF(プログラムリスト!A:A,コマンド!B63))</f>
        <v>1</v>
      </c>
    </row>
    <row r="64" spans="1:5">
      <c r="A64" s="6" t="s">
        <v>100</v>
      </c>
      <c r="B64" s="2" t="s">
        <v>72</v>
      </c>
      <c r="C64" s="2" t="str">
        <f t="shared" si="0"/>
        <v/>
      </c>
      <c r="D64" s="2" t="str">
        <f t="shared" si="1"/>
        <v/>
      </c>
      <c r="E64" s="1">
        <f>IF(B64="","",COUNTIF(プログラムリスト!A:A,コマンド!B64))</f>
        <v>1</v>
      </c>
    </row>
    <row r="65" spans="1:5">
      <c r="A65" s="6" t="s">
        <v>100</v>
      </c>
      <c r="B65" s="2" t="s">
        <v>73</v>
      </c>
      <c r="C65" s="2" t="str">
        <f t="shared" si="0"/>
        <v/>
      </c>
      <c r="D65" s="2" t="str">
        <f t="shared" si="1"/>
        <v/>
      </c>
      <c r="E65" s="1">
        <f>IF(B65="","",COUNTIF(プログラムリスト!A:A,コマンド!B65))</f>
        <v>1</v>
      </c>
    </row>
    <row r="66" spans="1:5">
      <c r="A66" s="6" t="s">
        <v>100</v>
      </c>
      <c r="B66" s="2" t="s">
        <v>74</v>
      </c>
      <c r="C66" s="2" t="str">
        <f t="shared" si="0"/>
        <v/>
      </c>
      <c r="D66" s="2" t="str">
        <f t="shared" si="1"/>
        <v/>
      </c>
      <c r="E66" s="1">
        <f>IF(B66="","",COUNTIF(プログラムリスト!A:A,コマンド!B66))</f>
        <v>1</v>
      </c>
    </row>
    <row r="67" spans="1:5">
      <c r="A67" s="6" t="s">
        <v>100</v>
      </c>
      <c r="B67" s="2" t="s">
        <v>75</v>
      </c>
      <c r="C67" s="2" t="str">
        <f t="shared" si="0"/>
        <v/>
      </c>
      <c r="D67" s="2" t="str">
        <f t="shared" si="1"/>
        <v/>
      </c>
      <c r="E67" s="1">
        <f>IF(B67="","",COUNTIF(プログラムリスト!A:A,コマンド!B67))</f>
        <v>1</v>
      </c>
    </row>
    <row r="68" spans="1:5">
      <c r="A68" s="6" t="s">
        <v>100</v>
      </c>
      <c r="B68" s="2" t="s">
        <v>76</v>
      </c>
      <c r="C68" s="2" t="str">
        <f t="shared" si="0"/>
        <v/>
      </c>
      <c r="D68" s="2" t="str">
        <f t="shared" si="1"/>
        <v/>
      </c>
      <c r="E68" s="1">
        <f>IF(B68="","",COUNTIF(プログラムリスト!A:A,コマンド!B68))</f>
        <v>1</v>
      </c>
    </row>
    <row r="69" spans="1:5">
      <c r="A69" s="6" t="s">
        <v>99</v>
      </c>
      <c r="B69" s="2" t="s">
        <v>21</v>
      </c>
      <c r="C69" s="2" t="str">
        <f t="shared" si="0"/>
        <v>"C:\prg_exe\7-ZipPortable\App\7-Zip64\7z.exe" a "C:\programs\prg_exe_zip\PDFX_Vwr_Port.zip" "C:\prg_exe\PDFX_Vwr_Port"</v>
      </c>
      <c r="D69" s="2" t="str">
        <f t="shared" si="1"/>
        <v>start https://github.com/draemonash2/programs/raw/master/prg_exe_zip/PDFX_Vwr_Port.zip</v>
      </c>
      <c r="E69" s="1">
        <f>IF(B69="","",COUNTIF(プログラムリスト!A:A,コマンド!B69))</f>
        <v>1</v>
      </c>
    </row>
    <row r="70" spans="1:5">
      <c r="A70" s="6" t="s">
        <v>99</v>
      </c>
      <c r="B70" s="2" t="s">
        <v>77</v>
      </c>
      <c r="C70" s="2" t="str">
        <f t="shared" si="0"/>
        <v>"C:\prg_exe\7-ZipPortable\App\7-Zip64\7z.exe" a "C:\programs\prg_exe_zip\PDF-XChangeEditor.zip" "C:\prg_exe\PDF-XChangeEditor"</v>
      </c>
      <c r="D70" s="2" t="str">
        <f t="shared" si="1"/>
        <v>start https://github.com/draemonash2/programs/raw/master/prg_exe_zip/PDF-XChangeEditor.zip</v>
      </c>
      <c r="E70" s="1">
        <f>IF(B70="","",COUNTIF(プログラムリスト!A:A,コマンド!B70))</f>
        <v>1</v>
      </c>
    </row>
    <row r="71" spans="1:5">
      <c r="A71" s="6" t="s">
        <v>100</v>
      </c>
      <c r="B71" s="2" t="s">
        <v>78</v>
      </c>
      <c r="C71" s="2" t="str">
        <f t="shared" si="0"/>
        <v/>
      </c>
      <c r="D71" s="2" t="str">
        <f t="shared" si="1"/>
        <v/>
      </c>
      <c r="E71" s="1">
        <f>IF(B71="","",COUNTIF(プログラムリスト!A:A,コマンド!B71))</f>
        <v>1</v>
      </c>
    </row>
    <row r="72" spans="1:5">
      <c r="A72" s="6" t="s">
        <v>100</v>
      </c>
      <c r="B72" s="2" t="s">
        <v>79</v>
      </c>
      <c r="C72" s="2" t="str">
        <f t="shared" si="0"/>
        <v/>
      </c>
      <c r="D72" s="2" t="str">
        <f t="shared" si="1"/>
        <v/>
      </c>
      <c r="E72" s="1">
        <f>IF(B72="","",COUNTIF(プログラムリスト!A:A,コマンド!B72))</f>
        <v>1</v>
      </c>
    </row>
    <row r="73" spans="1:5">
      <c r="A73" s="6" t="s">
        <v>99</v>
      </c>
      <c r="B73" s="2" t="s">
        <v>22</v>
      </c>
      <c r="C73" s="2" t="str">
        <f t="shared" ref="C73:C102" si="2">IF(OR($A73="×",$A73=""),"",""""&amp;$C$3&amp;""" a"&amp;IF($A73="●"," -v50m","")&amp;" """&amp;$C$4&amp;"\"&amp;$B73&amp;".zip"" """&amp;$C$2&amp;"\"&amp;$B73&amp;"""")</f>
        <v>"C:\prg_exe\7-ZipPortable\App\7-Zip64\7z.exe" a "C:\programs\prg_exe_zip\Rapture.zip" "C:\prg_exe\Rapture"</v>
      </c>
      <c r="D73" s="2" t="str">
        <f t="shared" si="1"/>
        <v>start https://github.com/draemonash2/programs/raw/master/prg_exe_zip/Rapture.zip</v>
      </c>
      <c r="E73" s="1">
        <f>IF(B73="","",COUNTIF(プログラムリスト!A:A,コマンド!B73))</f>
        <v>1</v>
      </c>
    </row>
    <row r="74" spans="1:5">
      <c r="A74" s="6" t="s">
        <v>100</v>
      </c>
      <c r="B74" s="2" t="s">
        <v>80</v>
      </c>
      <c r="C74" s="2" t="str">
        <f t="shared" si="2"/>
        <v/>
      </c>
      <c r="D74" s="2" t="str">
        <f t="shared" ref="D74:D137" si="3">IF($A74&lt;&gt;"○","","start "&amp;$C$5&amp;"/"&amp;$B74&amp;".zip")</f>
        <v/>
      </c>
      <c r="E74" s="1">
        <f>IF(B74="","",COUNTIF(プログラムリスト!A:A,コマンド!B74))</f>
        <v>1</v>
      </c>
    </row>
    <row r="75" spans="1:5">
      <c r="A75" s="6" t="s">
        <v>100</v>
      </c>
      <c r="B75" s="2" t="s">
        <v>81</v>
      </c>
      <c r="C75" s="2" t="str">
        <f t="shared" si="2"/>
        <v/>
      </c>
      <c r="D75" s="2" t="str">
        <f t="shared" si="3"/>
        <v/>
      </c>
      <c r="E75" s="1">
        <f>IF(B75="","",COUNTIF(プログラムリスト!A:A,コマンド!B75))</f>
        <v>1</v>
      </c>
    </row>
    <row r="76" spans="1:5">
      <c r="A76" s="6" t="s">
        <v>100</v>
      </c>
      <c r="B76" s="2" t="s">
        <v>82</v>
      </c>
      <c r="C76" s="2" t="str">
        <f t="shared" si="2"/>
        <v/>
      </c>
      <c r="D76" s="2" t="str">
        <f t="shared" si="3"/>
        <v/>
      </c>
      <c r="E76" s="1">
        <f>IF(B76="","",COUNTIF(プログラムリスト!A:A,コマンド!B76))</f>
        <v>1</v>
      </c>
    </row>
    <row r="77" spans="1:5">
      <c r="A77" s="6" t="s">
        <v>100</v>
      </c>
      <c r="B77" s="2" t="s">
        <v>83</v>
      </c>
      <c r="C77" s="2" t="str">
        <f t="shared" si="2"/>
        <v/>
      </c>
      <c r="D77" s="2" t="str">
        <f t="shared" si="3"/>
        <v/>
      </c>
      <c r="E77" s="1">
        <f>IF(B77="","",COUNTIF(プログラムリスト!A:A,コマンド!B77))</f>
        <v>1</v>
      </c>
    </row>
    <row r="78" spans="1:5">
      <c r="A78" s="6" t="s">
        <v>100</v>
      </c>
      <c r="B78" s="2" t="s">
        <v>84</v>
      </c>
      <c r="C78" s="2" t="str">
        <f t="shared" si="2"/>
        <v/>
      </c>
      <c r="D78" s="2" t="str">
        <f t="shared" si="3"/>
        <v/>
      </c>
      <c r="E78" s="1">
        <f>IF(B78="","",COUNTIF(プログラムリスト!A:A,コマンド!B78))</f>
        <v>1</v>
      </c>
    </row>
    <row r="79" spans="1:5">
      <c r="A79" s="6" t="s">
        <v>99</v>
      </c>
      <c r="B79" s="2" t="s">
        <v>23</v>
      </c>
      <c r="C79" s="2" t="str">
        <f t="shared" si="2"/>
        <v>"C:\prg_exe\7-ZipPortable\App\7-Zip64\7z.exe" a "C:\programs\prg_exe_zip\Stirling.zip" "C:\prg_exe\Stirling"</v>
      </c>
      <c r="D79" s="2" t="str">
        <f t="shared" si="3"/>
        <v>start https://github.com/draemonash2/programs/raw/master/prg_exe_zip/Stirling.zip</v>
      </c>
      <c r="E79" s="1">
        <f>IF(B79="","",COUNTIF(プログラムリスト!A:A,コマンド!B79))</f>
        <v>1</v>
      </c>
    </row>
    <row r="80" spans="1:5">
      <c r="A80" s="6" t="s">
        <v>100</v>
      </c>
      <c r="B80" s="2" t="s">
        <v>85</v>
      </c>
      <c r="C80" s="2" t="str">
        <f t="shared" si="2"/>
        <v/>
      </c>
      <c r="D80" s="2" t="str">
        <f t="shared" si="3"/>
        <v/>
      </c>
      <c r="E80" s="1">
        <f>IF(B80="","",COUNTIF(プログラムリスト!A:A,コマンド!B80))</f>
        <v>1</v>
      </c>
    </row>
    <row r="81" spans="1:5">
      <c r="A81" s="6" t="s">
        <v>100</v>
      </c>
      <c r="B81" s="2" t="s">
        <v>86</v>
      </c>
      <c r="C81" s="2" t="str">
        <f t="shared" si="2"/>
        <v/>
      </c>
      <c r="D81" s="2" t="str">
        <f t="shared" si="3"/>
        <v/>
      </c>
      <c r="E81" s="1">
        <f>IF(B81="","",COUNTIF(プログラムリスト!A:A,コマンド!B81))</f>
        <v>1</v>
      </c>
    </row>
    <row r="82" spans="1:5">
      <c r="A82" s="6" t="s">
        <v>99</v>
      </c>
      <c r="B82" s="2" t="s">
        <v>87</v>
      </c>
      <c r="C82" s="2" t="str">
        <f t="shared" si="2"/>
        <v>"C:\prg_exe\7-ZipPortable\App\7-Zip64\7z.exe" a "C:\programs\prg_exe_zip\TeraTerm.zip" "C:\prg_exe\TeraTerm"</v>
      </c>
      <c r="D82" s="2" t="str">
        <f t="shared" si="3"/>
        <v>start https://github.com/draemonash2/programs/raw/master/prg_exe_zip/TeraTerm.zip</v>
      </c>
      <c r="E82" s="1">
        <f>IF(B82="","",COUNTIF(プログラムリスト!A:A,コマンド!B82))</f>
        <v>1</v>
      </c>
    </row>
    <row r="83" spans="1:5">
      <c r="A83" s="6" t="s">
        <v>100</v>
      </c>
      <c r="B83" s="2" t="s">
        <v>88</v>
      </c>
      <c r="C83" s="2" t="str">
        <f t="shared" si="2"/>
        <v/>
      </c>
      <c r="D83" s="2" t="str">
        <f t="shared" si="3"/>
        <v/>
      </c>
      <c r="E83" s="1">
        <f>IF(B83="","",COUNTIF(プログラムリスト!A:A,コマンド!B83))</f>
        <v>1</v>
      </c>
    </row>
    <row r="84" spans="1:5">
      <c r="A84" s="6" t="s">
        <v>99</v>
      </c>
      <c r="B84" s="2" t="s">
        <v>24</v>
      </c>
      <c r="C84" s="2" t="str">
        <f t="shared" si="2"/>
        <v>"C:\prg_exe\7-ZipPortable\App\7-Zip64\7z.exe" a "C:\programs\prg_exe_zip\TresGrep.zip" "C:\prg_exe\TresGrep"</v>
      </c>
      <c r="D84" s="2" t="str">
        <f t="shared" si="3"/>
        <v>start https://github.com/draemonash2/programs/raw/master/prg_exe_zip/TresGrep.zip</v>
      </c>
      <c r="E84" s="1">
        <f>IF(B84="","",COUNTIF(プログラムリスト!A:A,コマンド!B84))</f>
        <v>1</v>
      </c>
    </row>
    <row r="85" spans="1:5">
      <c r="A85" s="6" t="s">
        <v>100</v>
      </c>
      <c r="B85" s="2" t="s">
        <v>89</v>
      </c>
      <c r="C85" s="2" t="str">
        <f t="shared" si="2"/>
        <v/>
      </c>
      <c r="D85" s="2" t="str">
        <f t="shared" si="3"/>
        <v/>
      </c>
      <c r="E85" s="1">
        <f>IF(B85="","",COUNTIF(プログラムリスト!A:A,コマンド!B85))</f>
        <v>1</v>
      </c>
    </row>
    <row r="86" spans="1:5">
      <c r="A86" s="6" t="s">
        <v>100</v>
      </c>
      <c r="B86" s="2" t="s">
        <v>90</v>
      </c>
      <c r="C86" s="2" t="str">
        <f t="shared" si="2"/>
        <v/>
      </c>
      <c r="D86" s="2" t="str">
        <f t="shared" si="3"/>
        <v/>
      </c>
      <c r="E86" s="1">
        <f>IF(B86="","",COUNTIF(プログラムリスト!A:A,コマンド!B86))</f>
        <v>1</v>
      </c>
    </row>
    <row r="87" spans="1:5">
      <c r="A87" s="6" t="s">
        <v>100</v>
      </c>
      <c r="B87" s="2" t="s">
        <v>91</v>
      </c>
      <c r="C87" s="2" t="str">
        <f t="shared" si="2"/>
        <v/>
      </c>
      <c r="D87" s="2" t="str">
        <f t="shared" si="3"/>
        <v/>
      </c>
      <c r="E87" s="1">
        <f>IF(B87="","",COUNTIF(プログラムリスト!A:A,コマンド!B87))</f>
        <v>1</v>
      </c>
    </row>
    <row r="88" spans="1:5">
      <c r="A88" s="6" t="s">
        <v>99</v>
      </c>
      <c r="B88" s="2" t="s">
        <v>25</v>
      </c>
      <c r="C88" s="2" t="str">
        <f t="shared" si="2"/>
        <v>"C:\prg_exe\7-ZipPortable\App\7-Zip64\7z.exe" a "C:\programs\prg_exe_zip\Vim.zip" "C:\prg_exe\Vim"</v>
      </c>
      <c r="D88" s="2" t="str">
        <f t="shared" si="3"/>
        <v>start https://github.com/draemonash2/programs/raw/master/prg_exe_zip/Vim.zip</v>
      </c>
      <c r="E88" s="1">
        <f>IF(B88="","",COUNTIF(プログラムリスト!A:A,コマンド!B88))</f>
        <v>1</v>
      </c>
    </row>
    <row r="89" spans="1:5">
      <c r="A89" s="6" t="s">
        <v>100</v>
      </c>
      <c r="B89" s="2" t="s">
        <v>92</v>
      </c>
      <c r="C89" s="2" t="str">
        <f t="shared" si="2"/>
        <v/>
      </c>
      <c r="D89" s="2" t="str">
        <f t="shared" si="3"/>
        <v/>
      </c>
      <c r="E89" s="1">
        <f>IF(B89="","",COUNTIF(プログラムリスト!A:A,コマンド!B89))</f>
        <v>1</v>
      </c>
    </row>
    <row r="90" spans="1:5">
      <c r="A90" s="6" t="s">
        <v>100</v>
      </c>
      <c r="B90" s="2" t="s">
        <v>93</v>
      </c>
      <c r="C90" s="2" t="str">
        <f t="shared" si="2"/>
        <v/>
      </c>
      <c r="D90" s="2" t="str">
        <f t="shared" si="3"/>
        <v/>
      </c>
      <c r="E90" s="1">
        <f>IF(B90="","",COUNTIF(プログラムリスト!A:A,コマンド!B90))</f>
        <v>1</v>
      </c>
    </row>
    <row r="91" spans="1:5">
      <c r="A91" s="6" t="s">
        <v>100</v>
      </c>
      <c r="B91" s="2" t="s">
        <v>94</v>
      </c>
      <c r="C91" s="2" t="str">
        <f t="shared" si="2"/>
        <v/>
      </c>
      <c r="D91" s="2" t="str">
        <f t="shared" si="3"/>
        <v/>
      </c>
      <c r="E91" s="1">
        <f>IF(B91="","",COUNTIF(プログラムリスト!A:A,コマンド!B91))</f>
        <v>1</v>
      </c>
    </row>
    <row r="92" spans="1:5">
      <c r="A92" s="6" t="s">
        <v>99</v>
      </c>
      <c r="B92" s="2" t="s">
        <v>26</v>
      </c>
      <c r="C92" s="2" t="str">
        <f t="shared" si="2"/>
        <v>"C:\prg_exe\7-ZipPortable\App\7-Zip64\7z.exe" a "C:\programs\prg_exe_zip\WinMerge.zip" "C:\prg_exe\WinMerge"</v>
      </c>
      <c r="D92" s="2" t="str">
        <f t="shared" si="3"/>
        <v>start https://github.com/draemonash2/programs/raw/master/prg_exe_zip/WinMerge.zip</v>
      </c>
      <c r="E92" s="1">
        <f>IF(B92="","",COUNTIF(プログラムリスト!A:A,コマンド!B92))</f>
        <v>1</v>
      </c>
    </row>
    <row r="93" spans="1:5">
      <c r="A93" s="6" t="s">
        <v>99</v>
      </c>
      <c r="B93" s="2" t="s">
        <v>95</v>
      </c>
      <c r="C93" s="2" t="str">
        <f t="shared" si="2"/>
        <v>"C:\prg_exe\7-ZipPortable\App\7-Zip64\7z.exe" a "C:\programs\prg_exe_zip\WinSCP.zip" "C:\prg_exe\WinSCP"</v>
      </c>
      <c r="D93" s="2" t="str">
        <f t="shared" si="3"/>
        <v>start https://github.com/draemonash2/programs/raw/master/prg_exe_zip/WinSCP.zip</v>
      </c>
      <c r="E93" s="1">
        <f>IF(B93="","",COUNTIF(プログラムリスト!A:A,コマンド!B93))</f>
        <v>1</v>
      </c>
    </row>
    <row r="94" spans="1:5">
      <c r="A94" s="6" t="s">
        <v>99</v>
      </c>
      <c r="B94" s="2" t="s">
        <v>96</v>
      </c>
      <c r="C94" s="2" t="str">
        <f t="shared" si="2"/>
        <v>"C:\prg_exe\7-ZipPortable\App\7-Zip64\7z.exe" a "C:\programs\prg_exe_zip\WinShot.zip" "C:\prg_exe\WinShot"</v>
      </c>
      <c r="D94" s="2" t="str">
        <f t="shared" si="3"/>
        <v>start https://github.com/draemonash2/programs/raw/master/prg_exe_zip/WinShot.zip</v>
      </c>
      <c r="E94" s="1">
        <f>IF(B94="","",COUNTIF(プログラムリスト!A:A,コマンド!B94))</f>
        <v>1</v>
      </c>
    </row>
    <row r="95" spans="1:5">
      <c r="A95" s="6" t="s">
        <v>100</v>
      </c>
      <c r="B95" s="2" t="s">
        <v>97</v>
      </c>
      <c r="C95" s="2" t="str">
        <f t="shared" si="2"/>
        <v/>
      </c>
      <c r="D95" s="2" t="str">
        <f t="shared" si="3"/>
        <v/>
      </c>
      <c r="E95" s="1">
        <f>IF(B95="","",COUNTIF(プログラムリスト!A:A,コマンド!B95))</f>
        <v>1</v>
      </c>
    </row>
    <row r="96" spans="1:5">
      <c r="A96" s="6" t="s">
        <v>100</v>
      </c>
      <c r="B96" s="2" t="s">
        <v>98</v>
      </c>
      <c r="C96" s="2" t="str">
        <f t="shared" si="2"/>
        <v/>
      </c>
      <c r="D96" s="2" t="str">
        <f t="shared" si="3"/>
        <v/>
      </c>
      <c r="E96" s="1">
        <f>IF(B96="","",COUNTIF(プログラムリスト!A:A,コマンド!B96))</f>
        <v>1</v>
      </c>
    </row>
    <row r="97" spans="1:5">
      <c r="A97" s="6" t="s">
        <v>99</v>
      </c>
      <c r="B97" s="2" t="s">
        <v>27</v>
      </c>
      <c r="C97" s="2" t="str">
        <f t="shared" si="2"/>
        <v>"C:\prg_exe\7-ZipPortable\App\7-Zip64\7z.exe" a "C:\programs\prg_exe_zip\X-Finder.zip" "C:\prg_exe\X-Finder"</v>
      </c>
      <c r="D97" s="2" t="str">
        <f t="shared" si="3"/>
        <v>start https://github.com/draemonash2/programs/raw/master/prg_exe_zip/X-Finder.zip</v>
      </c>
      <c r="E97" s="1">
        <f>IF(B97="","",COUNTIF(プログラムリスト!A:A,コマンド!B97))</f>
        <v>1</v>
      </c>
    </row>
    <row r="98" spans="1:5">
      <c r="A98" s="6" t="s">
        <v>100</v>
      </c>
      <c r="B98" s="2" t="s">
        <v>104</v>
      </c>
      <c r="C98" s="2" t="str">
        <f t="shared" si="2"/>
        <v/>
      </c>
      <c r="D98" s="2" t="str">
        <f t="shared" si="3"/>
        <v/>
      </c>
      <c r="E98" s="1">
        <f>IF(B98="","",COUNTIF(プログラムリスト!A:A,コマンド!B98))</f>
        <v>1</v>
      </c>
    </row>
    <row r="99" spans="1:5">
      <c r="A99" s="6" t="s">
        <v>99</v>
      </c>
      <c r="B99" s="2" t="s">
        <v>105</v>
      </c>
      <c r="C99" s="2" t="str">
        <f t="shared" si="2"/>
        <v>"C:\prg_exe\7-ZipPortable\App\7-Zip64\7z.exe" a "C:\programs\prg_exe_zip\RLogin.zip" "C:\prg_exe\RLogin"</v>
      </c>
      <c r="D99" s="2" t="str">
        <f t="shared" si="3"/>
        <v>start https://github.com/draemonash2/programs/raw/master/prg_exe_zip/RLogin.zip</v>
      </c>
      <c r="E99" s="1">
        <f>IF(B99="","",COUNTIF(プログラムリスト!A:A,コマンド!B99))</f>
        <v>1</v>
      </c>
    </row>
    <row r="100" spans="1:5">
      <c r="A100" s="6" t="s">
        <v>99</v>
      </c>
      <c r="B100" s="2" t="s">
        <v>106</v>
      </c>
      <c r="C100" s="2" t="str">
        <f t="shared" si="2"/>
        <v>"C:\prg_exe\7-ZipPortable\App\7-Zip64\7z.exe" a "C:\programs\prg_exe_zip\SakuraEditer.zip" "C:\prg_exe\SakuraEditer"</v>
      </c>
      <c r="D100" s="2" t="str">
        <f t="shared" si="3"/>
        <v>start https://github.com/draemonash2/programs/raw/master/prg_exe_zip/SakuraEditer.zip</v>
      </c>
      <c r="E100" s="1">
        <f>IF(B100="","",COUNTIF(プログラムリスト!A:A,コマンド!B100))</f>
        <v>1</v>
      </c>
    </row>
    <row r="101" spans="1:5">
      <c r="A101" s="6" t="s">
        <v>100</v>
      </c>
      <c r="B101" s="2" t="s">
        <v>112</v>
      </c>
      <c r="C101" s="2" t="str">
        <f t="shared" si="2"/>
        <v/>
      </c>
      <c r="D101" s="2" t="str">
        <f t="shared" si="3"/>
        <v/>
      </c>
      <c r="E101" s="1">
        <f>IF(B101="","",COUNTIF(プログラムリスト!A:A,コマンド!B101))</f>
        <v>1</v>
      </c>
    </row>
    <row r="102" spans="1:5">
      <c r="A102" s="6" t="s">
        <v>100</v>
      </c>
      <c r="B102" s="2" t="s">
        <v>116</v>
      </c>
      <c r="C102" s="2" t="str">
        <f t="shared" si="2"/>
        <v/>
      </c>
      <c r="D102" s="2" t="str">
        <f t="shared" si="3"/>
        <v/>
      </c>
      <c r="E102" s="1">
        <f>IF(B102="","",COUNTIF(プログラムリスト!A:A,コマンド!B102))</f>
        <v>1</v>
      </c>
    </row>
    <row r="103" spans="1:5" ht="56.25">
      <c r="A103" s="6" t="s">
        <v>117</v>
      </c>
      <c r="B103" s="2" t="s">
        <v>115</v>
      </c>
      <c r="C103" s="2" t="str">
        <f>IF(OR($A103="×",$A103=""),"",""""&amp;$C$3&amp;""" a"&amp;IF($A103="●"," -v50m","")&amp;" """&amp;$C$4&amp;"\"&amp;$B103&amp;".zip"" """&amp;$C$2&amp;"\"&amp;$B103&amp;"""")</f>
        <v>"C:\prg_exe\7-ZipPortable\App\7-Zip64\7z.exe" a -v50m "C:\programs\prg_exe_zip\GoogleChromePortable64.zip" "C:\prg_exe\GoogleChromePortable64"</v>
      </c>
      <c r="D103" s="8" t="s">
        <v>118</v>
      </c>
      <c r="E103" s="1">
        <f>IF(B103="","",COUNTIF(プログラムリスト!A:A,コマンド!B103))</f>
        <v>1</v>
      </c>
    </row>
    <row r="104" spans="1:5">
      <c r="A104" s="6"/>
      <c r="B104" s="2"/>
      <c r="C104" s="2" t="str">
        <f t="shared" ref="C104:C150" si="4">IF(OR($A104="×",$A104=""),"",""""&amp;$C$3&amp;""" a"&amp;IF($A104="●"," -v50m","")&amp;" """&amp;$C$4&amp;"\"&amp;$B104&amp;".zip"" """&amp;$C$2&amp;"\"&amp;$B104&amp;"""")</f>
        <v/>
      </c>
      <c r="D104" s="2" t="str">
        <f t="shared" si="3"/>
        <v/>
      </c>
      <c r="E104" s="1" t="str">
        <f>IF(B104="","",COUNTIF(プログラムリスト!A:A,コマンド!B104))</f>
        <v/>
      </c>
    </row>
    <row r="105" spans="1:5">
      <c r="A105" s="6"/>
      <c r="B105" s="2"/>
      <c r="C105" s="2" t="str">
        <f t="shared" si="4"/>
        <v/>
      </c>
      <c r="D105" s="2" t="str">
        <f t="shared" si="3"/>
        <v/>
      </c>
      <c r="E105" s="1" t="str">
        <f>IF(B105="","",COUNTIF(プログラムリスト!A:A,コマンド!B105))</f>
        <v/>
      </c>
    </row>
    <row r="106" spans="1:5">
      <c r="A106" s="6"/>
      <c r="B106" s="2"/>
      <c r="C106" s="2" t="str">
        <f t="shared" si="4"/>
        <v/>
      </c>
      <c r="D106" s="2" t="str">
        <f t="shared" si="3"/>
        <v/>
      </c>
      <c r="E106" s="1" t="str">
        <f>IF(B106="","",COUNTIF(プログラムリスト!A:A,コマンド!B106))</f>
        <v/>
      </c>
    </row>
    <row r="107" spans="1:5">
      <c r="A107" s="6"/>
      <c r="B107" s="2"/>
      <c r="C107" s="2" t="str">
        <f t="shared" si="4"/>
        <v/>
      </c>
      <c r="D107" s="2" t="str">
        <f t="shared" si="3"/>
        <v/>
      </c>
      <c r="E107" s="1" t="str">
        <f>IF(B107="","",COUNTIF(プログラムリスト!A:A,コマンド!B107))</f>
        <v/>
      </c>
    </row>
    <row r="108" spans="1:5">
      <c r="A108" s="6"/>
      <c r="B108" s="2"/>
      <c r="C108" s="2" t="str">
        <f t="shared" si="4"/>
        <v/>
      </c>
      <c r="D108" s="2" t="str">
        <f t="shared" si="3"/>
        <v/>
      </c>
      <c r="E108" s="1" t="str">
        <f>IF(B108="","",COUNTIF(プログラムリスト!A:A,コマンド!B108))</f>
        <v/>
      </c>
    </row>
    <row r="109" spans="1:5">
      <c r="A109" s="6"/>
      <c r="B109" s="2"/>
      <c r="C109" s="2" t="str">
        <f t="shared" si="4"/>
        <v/>
      </c>
      <c r="D109" s="2" t="str">
        <f t="shared" si="3"/>
        <v/>
      </c>
      <c r="E109" s="1" t="str">
        <f>IF(B109="","",COUNTIF(プログラムリスト!A:A,コマンド!B109))</f>
        <v/>
      </c>
    </row>
    <row r="110" spans="1:5">
      <c r="A110" s="6"/>
      <c r="B110" s="2"/>
      <c r="C110" s="2" t="str">
        <f t="shared" si="4"/>
        <v/>
      </c>
      <c r="D110" s="2" t="str">
        <f t="shared" si="3"/>
        <v/>
      </c>
      <c r="E110" s="1" t="str">
        <f>IF(B110="","",COUNTIF(プログラムリスト!A:A,コマンド!B110))</f>
        <v/>
      </c>
    </row>
    <row r="111" spans="1:5">
      <c r="A111" s="6"/>
      <c r="B111" s="2"/>
      <c r="C111" s="2" t="str">
        <f t="shared" si="4"/>
        <v/>
      </c>
      <c r="D111" s="2" t="str">
        <f t="shared" si="3"/>
        <v/>
      </c>
      <c r="E111" s="1" t="str">
        <f>IF(B111="","",COUNTIF(プログラムリスト!A:A,コマンド!B111))</f>
        <v/>
      </c>
    </row>
    <row r="112" spans="1:5">
      <c r="A112" s="6"/>
      <c r="B112" s="2"/>
      <c r="C112" s="2" t="str">
        <f t="shared" si="4"/>
        <v/>
      </c>
      <c r="D112" s="2" t="str">
        <f t="shared" si="3"/>
        <v/>
      </c>
      <c r="E112" s="1" t="str">
        <f>IF(B112="","",COUNTIF(プログラムリスト!A:A,コマンド!B112))</f>
        <v/>
      </c>
    </row>
    <row r="113" spans="1:5">
      <c r="A113" s="6"/>
      <c r="B113" s="2"/>
      <c r="C113" s="2" t="str">
        <f t="shared" si="4"/>
        <v/>
      </c>
      <c r="D113" s="2" t="str">
        <f t="shared" si="3"/>
        <v/>
      </c>
      <c r="E113" s="1" t="str">
        <f>IF(B113="","",COUNTIF(プログラムリスト!A:A,コマンド!B113))</f>
        <v/>
      </c>
    </row>
    <row r="114" spans="1:5">
      <c r="A114" s="6"/>
      <c r="B114" s="2"/>
      <c r="C114" s="2" t="str">
        <f t="shared" si="4"/>
        <v/>
      </c>
      <c r="D114" s="2" t="str">
        <f t="shared" si="3"/>
        <v/>
      </c>
      <c r="E114" s="1" t="str">
        <f>IF(B114="","",COUNTIF(プログラムリスト!A:A,コマンド!B114))</f>
        <v/>
      </c>
    </row>
    <row r="115" spans="1:5">
      <c r="A115" s="6"/>
      <c r="B115" s="2"/>
      <c r="C115" s="2" t="str">
        <f t="shared" si="4"/>
        <v/>
      </c>
      <c r="D115" s="2" t="str">
        <f t="shared" si="3"/>
        <v/>
      </c>
      <c r="E115" s="1" t="str">
        <f>IF(B115="","",COUNTIF(プログラムリスト!A:A,コマンド!B115))</f>
        <v/>
      </c>
    </row>
    <row r="116" spans="1:5">
      <c r="A116" s="6"/>
      <c r="B116" s="2"/>
      <c r="C116" s="2" t="str">
        <f t="shared" si="4"/>
        <v/>
      </c>
      <c r="D116" s="2" t="str">
        <f t="shared" si="3"/>
        <v/>
      </c>
      <c r="E116" s="1" t="str">
        <f>IF(B116="","",COUNTIF(プログラムリスト!A:A,コマンド!B116))</f>
        <v/>
      </c>
    </row>
    <row r="117" spans="1:5">
      <c r="A117" s="6"/>
      <c r="B117" s="2"/>
      <c r="C117" s="2" t="str">
        <f t="shared" si="4"/>
        <v/>
      </c>
      <c r="D117" s="2" t="str">
        <f t="shared" si="3"/>
        <v/>
      </c>
      <c r="E117" s="1" t="str">
        <f>IF(B117="","",COUNTIF(プログラムリスト!A:A,コマンド!B117))</f>
        <v/>
      </c>
    </row>
    <row r="118" spans="1:5">
      <c r="A118" s="6"/>
      <c r="B118" s="2"/>
      <c r="C118" s="2" t="str">
        <f t="shared" si="4"/>
        <v/>
      </c>
      <c r="D118" s="2" t="str">
        <f t="shared" si="3"/>
        <v/>
      </c>
      <c r="E118" s="1" t="str">
        <f>IF(B118="","",COUNTIF(プログラムリスト!A:A,コマンド!B118))</f>
        <v/>
      </c>
    </row>
    <row r="119" spans="1:5">
      <c r="A119" s="6"/>
      <c r="B119" s="2"/>
      <c r="C119" s="2" t="str">
        <f t="shared" si="4"/>
        <v/>
      </c>
      <c r="D119" s="2" t="str">
        <f t="shared" si="3"/>
        <v/>
      </c>
      <c r="E119" s="1" t="str">
        <f>IF(B119="","",COUNTIF(プログラムリスト!A:A,コマンド!B119))</f>
        <v/>
      </c>
    </row>
    <row r="120" spans="1:5">
      <c r="A120" s="6"/>
      <c r="B120" s="2"/>
      <c r="C120" s="2" t="str">
        <f t="shared" si="4"/>
        <v/>
      </c>
      <c r="D120" s="2" t="str">
        <f t="shared" si="3"/>
        <v/>
      </c>
      <c r="E120" s="1" t="str">
        <f>IF(B120="","",COUNTIF(プログラムリスト!A:A,コマンド!B120))</f>
        <v/>
      </c>
    </row>
    <row r="121" spans="1:5">
      <c r="A121" s="6"/>
      <c r="B121" s="2"/>
      <c r="C121" s="2" t="str">
        <f t="shared" si="4"/>
        <v/>
      </c>
      <c r="D121" s="2" t="str">
        <f t="shared" si="3"/>
        <v/>
      </c>
      <c r="E121" s="1" t="str">
        <f>IF(B121="","",COUNTIF(プログラムリスト!A:A,コマンド!B121))</f>
        <v/>
      </c>
    </row>
    <row r="122" spans="1:5">
      <c r="A122" s="6"/>
      <c r="B122" s="2"/>
      <c r="C122" s="2" t="str">
        <f t="shared" si="4"/>
        <v/>
      </c>
      <c r="D122" s="2" t="str">
        <f t="shared" si="3"/>
        <v/>
      </c>
      <c r="E122" s="1" t="str">
        <f>IF(B122="","",COUNTIF(プログラムリスト!A:A,コマンド!B122))</f>
        <v/>
      </c>
    </row>
    <row r="123" spans="1:5">
      <c r="A123" s="6"/>
      <c r="B123" s="2"/>
      <c r="C123" s="2" t="str">
        <f t="shared" si="4"/>
        <v/>
      </c>
      <c r="D123" s="2" t="str">
        <f t="shared" si="3"/>
        <v/>
      </c>
      <c r="E123" s="1" t="str">
        <f>IF(B123="","",COUNTIF(プログラムリスト!A:A,コマンド!B123))</f>
        <v/>
      </c>
    </row>
    <row r="124" spans="1:5">
      <c r="A124" s="6"/>
      <c r="B124" s="2"/>
      <c r="C124" s="2" t="str">
        <f t="shared" si="4"/>
        <v/>
      </c>
      <c r="D124" s="2" t="str">
        <f t="shared" si="3"/>
        <v/>
      </c>
      <c r="E124" s="1" t="str">
        <f>IF(B124="","",COUNTIF(プログラムリスト!A:A,コマンド!B124))</f>
        <v/>
      </c>
    </row>
    <row r="125" spans="1:5">
      <c r="A125" s="6"/>
      <c r="B125" s="2"/>
      <c r="C125" s="2" t="str">
        <f t="shared" si="4"/>
        <v/>
      </c>
      <c r="D125" s="2" t="str">
        <f t="shared" si="3"/>
        <v/>
      </c>
      <c r="E125" s="1" t="str">
        <f>IF(B125="","",COUNTIF(プログラムリスト!A:A,コマンド!B125))</f>
        <v/>
      </c>
    </row>
    <row r="126" spans="1:5">
      <c r="A126" s="6"/>
      <c r="B126" s="2"/>
      <c r="C126" s="2" t="str">
        <f t="shared" si="4"/>
        <v/>
      </c>
      <c r="D126" s="2" t="str">
        <f t="shared" si="3"/>
        <v/>
      </c>
      <c r="E126" s="1" t="str">
        <f>IF(B126="","",COUNTIF(プログラムリスト!A:A,コマンド!B126))</f>
        <v/>
      </c>
    </row>
    <row r="127" spans="1:5">
      <c r="A127" s="6"/>
      <c r="B127" s="2"/>
      <c r="C127" s="2" t="str">
        <f t="shared" si="4"/>
        <v/>
      </c>
      <c r="D127" s="2" t="str">
        <f t="shared" si="3"/>
        <v/>
      </c>
      <c r="E127" s="1" t="str">
        <f>IF(B127="","",COUNTIF(プログラムリスト!A:A,コマンド!B127))</f>
        <v/>
      </c>
    </row>
    <row r="128" spans="1:5">
      <c r="A128" s="6"/>
      <c r="B128" s="2"/>
      <c r="C128" s="2" t="str">
        <f t="shared" si="4"/>
        <v/>
      </c>
      <c r="D128" s="2" t="str">
        <f t="shared" si="3"/>
        <v/>
      </c>
      <c r="E128" s="1" t="str">
        <f>IF(B128="","",COUNTIF(プログラムリスト!A:A,コマンド!B128))</f>
        <v/>
      </c>
    </row>
    <row r="129" spans="1:5">
      <c r="A129" s="6"/>
      <c r="B129" s="2"/>
      <c r="C129" s="2" t="str">
        <f t="shared" si="4"/>
        <v/>
      </c>
      <c r="D129" s="2" t="str">
        <f t="shared" si="3"/>
        <v/>
      </c>
      <c r="E129" s="1" t="str">
        <f>IF(B129="","",COUNTIF(プログラムリスト!A:A,コマンド!B129))</f>
        <v/>
      </c>
    </row>
    <row r="130" spans="1:5">
      <c r="A130" s="6"/>
      <c r="B130" s="2"/>
      <c r="C130" s="2" t="str">
        <f t="shared" si="4"/>
        <v/>
      </c>
      <c r="D130" s="2" t="str">
        <f t="shared" si="3"/>
        <v/>
      </c>
      <c r="E130" s="1" t="str">
        <f>IF(B130="","",COUNTIF(プログラムリスト!A:A,コマンド!B130))</f>
        <v/>
      </c>
    </row>
    <row r="131" spans="1:5">
      <c r="A131" s="6"/>
      <c r="B131" s="2"/>
      <c r="C131" s="2" t="str">
        <f t="shared" si="4"/>
        <v/>
      </c>
      <c r="D131" s="2" t="str">
        <f t="shared" si="3"/>
        <v/>
      </c>
      <c r="E131" s="1" t="str">
        <f>IF(B131="","",COUNTIF(プログラムリスト!A:A,コマンド!B131))</f>
        <v/>
      </c>
    </row>
    <row r="132" spans="1:5">
      <c r="A132" s="6"/>
      <c r="B132" s="2"/>
      <c r="C132" s="2" t="str">
        <f t="shared" si="4"/>
        <v/>
      </c>
      <c r="D132" s="2" t="str">
        <f t="shared" si="3"/>
        <v/>
      </c>
      <c r="E132" s="1" t="str">
        <f>IF(B132="","",COUNTIF(プログラムリスト!A:A,コマンド!B132))</f>
        <v/>
      </c>
    </row>
    <row r="133" spans="1:5">
      <c r="A133" s="6"/>
      <c r="B133" s="2"/>
      <c r="C133" s="2" t="str">
        <f t="shared" si="4"/>
        <v/>
      </c>
      <c r="D133" s="2" t="str">
        <f t="shared" si="3"/>
        <v/>
      </c>
      <c r="E133" s="1" t="str">
        <f>IF(B133="","",COUNTIF(プログラムリスト!A:A,コマンド!B133))</f>
        <v/>
      </c>
    </row>
    <row r="134" spans="1:5">
      <c r="A134" s="6"/>
      <c r="B134" s="2"/>
      <c r="C134" s="2" t="str">
        <f t="shared" si="4"/>
        <v/>
      </c>
      <c r="D134" s="2" t="str">
        <f t="shared" si="3"/>
        <v/>
      </c>
      <c r="E134" s="1" t="str">
        <f>IF(B134="","",COUNTIF(プログラムリスト!A:A,コマンド!B134))</f>
        <v/>
      </c>
    </row>
    <row r="135" spans="1:5">
      <c r="A135" s="6"/>
      <c r="B135" s="2"/>
      <c r="C135" s="2" t="str">
        <f t="shared" si="4"/>
        <v/>
      </c>
      <c r="D135" s="2" t="str">
        <f t="shared" si="3"/>
        <v/>
      </c>
      <c r="E135" s="1" t="str">
        <f>IF(B135="","",COUNTIF(プログラムリスト!A:A,コマンド!B135))</f>
        <v/>
      </c>
    </row>
    <row r="136" spans="1:5">
      <c r="A136" s="6"/>
      <c r="B136" s="2"/>
      <c r="C136" s="2" t="str">
        <f t="shared" si="4"/>
        <v/>
      </c>
      <c r="D136" s="2" t="str">
        <f t="shared" si="3"/>
        <v/>
      </c>
      <c r="E136" s="1" t="str">
        <f>IF(B136="","",COUNTIF(プログラムリスト!A:A,コマンド!B136))</f>
        <v/>
      </c>
    </row>
    <row r="137" spans="1:5">
      <c r="A137" s="6"/>
      <c r="B137" s="2"/>
      <c r="C137" s="2" t="str">
        <f t="shared" si="4"/>
        <v/>
      </c>
      <c r="D137" s="2" t="str">
        <f t="shared" si="3"/>
        <v/>
      </c>
      <c r="E137" s="1" t="str">
        <f>IF(B137="","",COUNTIF(プログラムリスト!A:A,コマンド!B137))</f>
        <v/>
      </c>
    </row>
    <row r="138" spans="1:5">
      <c r="A138" s="6"/>
      <c r="B138" s="2"/>
      <c r="C138" s="2" t="str">
        <f t="shared" si="4"/>
        <v/>
      </c>
      <c r="D138" s="2" t="str">
        <f t="shared" ref="D138:D150" si="5">IF($A138&lt;&gt;"○","","start "&amp;$C$5&amp;"/"&amp;$B138&amp;".zip")</f>
        <v/>
      </c>
      <c r="E138" s="1" t="str">
        <f>IF(B138="","",COUNTIF(プログラムリスト!A:A,コマンド!B138))</f>
        <v/>
      </c>
    </row>
    <row r="139" spans="1:5">
      <c r="A139" s="6"/>
      <c r="B139" s="2"/>
      <c r="C139" s="2" t="str">
        <f t="shared" si="4"/>
        <v/>
      </c>
      <c r="D139" s="2" t="str">
        <f t="shared" si="5"/>
        <v/>
      </c>
      <c r="E139" s="1" t="str">
        <f>IF(B139="","",COUNTIF(プログラムリスト!A:A,コマンド!B139))</f>
        <v/>
      </c>
    </row>
    <row r="140" spans="1:5">
      <c r="A140" s="6"/>
      <c r="B140" s="2"/>
      <c r="C140" s="2" t="str">
        <f t="shared" si="4"/>
        <v/>
      </c>
      <c r="D140" s="2" t="str">
        <f t="shared" si="5"/>
        <v/>
      </c>
      <c r="E140" s="1" t="str">
        <f>IF(B140="","",COUNTIF(プログラムリスト!A:A,コマンド!B140))</f>
        <v/>
      </c>
    </row>
    <row r="141" spans="1:5">
      <c r="A141" s="6"/>
      <c r="B141" s="2"/>
      <c r="C141" s="2" t="str">
        <f t="shared" si="4"/>
        <v/>
      </c>
      <c r="D141" s="2" t="str">
        <f t="shared" si="5"/>
        <v/>
      </c>
      <c r="E141" s="1" t="str">
        <f>IF(B141="","",COUNTIF(プログラムリスト!A:A,コマンド!B141))</f>
        <v/>
      </c>
    </row>
    <row r="142" spans="1:5">
      <c r="A142" s="6"/>
      <c r="B142" s="2"/>
      <c r="C142" s="2" t="str">
        <f t="shared" si="4"/>
        <v/>
      </c>
      <c r="D142" s="2" t="str">
        <f t="shared" si="5"/>
        <v/>
      </c>
      <c r="E142" s="1" t="str">
        <f>IF(B142="","",COUNTIF(プログラムリスト!A:A,コマンド!B142))</f>
        <v/>
      </c>
    </row>
    <row r="143" spans="1:5">
      <c r="A143" s="6"/>
      <c r="B143" s="2"/>
      <c r="C143" s="2" t="str">
        <f t="shared" si="4"/>
        <v/>
      </c>
      <c r="D143" s="2" t="str">
        <f t="shared" si="5"/>
        <v/>
      </c>
      <c r="E143" s="1" t="str">
        <f>IF(B143="","",COUNTIF(プログラムリスト!A:A,コマンド!B143))</f>
        <v/>
      </c>
    </row>
    <row r="144" spans="1:5">
      <c r="A144" s="6"/>
      <c r="B144" s="2"/>
      <c r="C144" s="2" t="str">
        <f t="shared" si="4"/>
        <v/>
      </c>
      <c r="D144" s="2" t="str">
        <f t="shared" si="5"/>
        <v/>
      </c>
      <c r="E144" s="1" t="str">
        <f>IF(B144="","",COUNTIF(プログラムリスト!A:A,コマンド!B144))</f>
        <v/>
      </c>
    </row>
    <row r="145" spans="1:5">
      <c r="A145" s="6"/>
      <c r="B145" s="2"/>
      <c r="C145" s="2" t="str">
        <f t="shared" si="4"/>
        <v/>
      </c>
      <c r="D145" s="2" t="str">
        <f t="shared" si="5"/>
        <v/>
      </c>
      <c r="E145" s="1" t="str">
        <f>IF(B145="","",COUNTIF(プログラムリスト!A:A,コマンド!B145))</f>
        <v/>
      </c>
    </row>
    <row r="146" spans="1:5">
      <c r="A146" s="6"/>
      <c r="B146" s="2"/>
      <c r="C146" s="2" t="str">
        <f t="shared" si="4"/>
        <v/>
      </c>
      <c r="D146" s="2" t="str">
        <f t="shared" si="5"/>
        <v/>
      </c>
      <c r="E146" s="1" t="str">
        <f>IF(B146="","",COUNTIF(プログラムリスト!A:A,コマンド!B146))</f>
        <v/>
      </c>
    </row>
    <row r="147" spans="1:5">
      <c r="A147" s="6"/>
      <c r="B147" s="2"/>
      <c r="C147" s="2" t="str">
        <f t="shared" si="4"/>
        <v/>
      </c>
      <c r="D147" s="2" t="str">
        <f t="shared" si="5"/>
        <v/>
      </c>
      <c r="E147" s="1" t="str">
        <f>IF(B147="","",COUNTIF(プログラムリスト!A:A,コマンド!B147))</f>
        <v/>
      </c>
    </row>
    <row r="148" spans="1:5">
      <c r="A148" s="6"/>
      <c r="B148" s="2"/>
      <c r="C148" s="2" t="str">
        <f t="shared" si="4"/>
        <v/>
      </c>
      <c r="D148" s="2" t="str">
        <f t="shared" si="5"/>
        <v/>
      </c>
      <c r="E148" s="1" t="str">
        <f>IF(B148="","",COUNTIF(プログラムリスト!A:A,コマンド!B148))</f>
        <v/>
      </c>
    </row>
    <row r="149" spans="1:5">
      <c r="A149" s="6"/>
      <c r="B149" s="2"/>
      <c r="C149" s="2" t="str">
        <f t="shared" si="4"/>
        <v/>
      </c>
      <c r="D149" s="2" t="str">
        <f t="shared" si="5"/>
        <v/>
      </c>
      <c r="E149" s="1" t="str">
        <f>IF(B149="","",COUNTIF(プログラムリスト!A:A,コマンド!B149))</f>
        <v/>
      </c>
    </row>
    <row r="150" spans="1:5">
      <c r="A150" s="6"/>
      <c r="B150" s="2"/>
      <c r="C150" s="2" t="str">
        <f t="shared" si="4"/>
        <v/>
      </c>
      <c r="D150" s="2" t="str">
        <f t="shared" si="5"/>
        <v/>
      </c>
      <c r="E150" s="1" t="str">
        <f>IF(B150="","",COUNTIF(プログラムリスト!A:A,コマンド!B150))</f>
        <v/>
      </c>
    </row>
  </sheetData>
  <autoFilter ref="A8:E150" xr:uid="{ABF57DE3-9EE8-4BBA-B875-2B7EE6FF5C81}"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コマンド実行">
                <anchor moveWithCells="1">
                  <from>
                    <xdr:col>2</xdr:col>
                    <xdr:colOff>0</xdr:colOff>
                    <xdr:row>6</xdr:row>
                    <xdr:rowOff>9525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コマンド実行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D0B8C-36CA-4879-BA68-A572AA9B4A65}">
  <dimension ref="A1:B20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1.25"/>
  <cols>
    <col min="1" max="1" width="29.33203125" bestFit="1" customWidth="1"/>
  </cols>
  <sheetData>
    <row r="1" spans="1:2">
      <c r="A1" t="s">
        <v>108</v>
      </c>
      <c r="B1" t="s">
        <v>107</v>
      </c>
    </row>
    <row r="2" spans="1:2">
      <c r="A2" t="s">
        <v>5</v>
      </c>
      <c r="B2">
        <f>IF(A2="","",COUNTIF(コマンド!B:B,プログラムリスト!A2))</f>
        <v>1</v>
      </c>
    </row>
    <row r="3" spans="1:2">
      <c r="A3" t="s">
        <v>33</v>
      </c>
      <c r="B3">
        <f>IF(A3="","",COUNTIF(コマンド!B:B,プログラムリスト!A3))</f>
        <v>1</v>
      </c>
    </row>
    <row r="4" spans="1:2">
      <c r="A4" t="s">
        <v>34</v>
      </c>
      <c r="B4">
        <f>IF(A4="","",COUNTIF(コマンド!B:B,プログラムリスト!A4))</f>
        <v>1</v>
      </c>
    </row>
    <row r="5" spans="1:2">
      <c r="A5" t="s">
        <v>35</v>
      </c>
      <c r="B5">
        <f>IF(A5="","",COUNTIF(コマンド!B:B,プログラムリスト!A5))</f>
        <v>1</v>
      </c>
    </row>
    <row r="6" spans="1:2">
      <c r="A6" t="s">
        <v>6</v>
      </c>
      <c r="B6">
        <f>IF(A6="","",COUNTIF(コマンド!B:B,プログラムリスト!A6))</f>
        <v>1</v>
      </c>
    </row>
    <row r="7" spans="1:2">
      <c r="A7" t="s">
        <v>7</v>
      </c>
      <c r="B7">
        <f>IF(A7="","",COUNTIF(コマンド!B:B,プログラムリスト!A7))</f>
        <v>1</v>
      </c>
    </row>
    <row r="8" spans="1:2">
      <c r="A8" t="s">
        <v>36</v>
      </c>
      <c r="B8">
        <f>IF(A8="","",COUNTIF(コマンド!B:B,プログラムリスト!A8))</f>
        <v>1</v>
      </c>
    </row>
    <row r="9" spans="1:2">
      <c r="A9" t="s">
        <v>8</v>
      </c>
      <c r="B9">
        <f>IF(A9="","",COUNTIF(コマンド!B:B,プログラムリスト!A9))</f>
        <v>1</v>
      </c>
    </row>
    <row r="10" spans="1:2">
      <c r="A10" t="s">
        <v>9</v>
      </c>
      <c r="B10">
        <f>IF(A10="","",COUNTIF(コマンド!B:B,プログラムリスト!A10))</f>
        <v>1</v>
      </c>
    </row>
    <row r="11" spans="1:2">
      <c r="A11" t="s">
        <v>37</v>
      </c>
      <c r="B11">
        <f>IF(A11="","",COUNTIF(コマンド!B:B,プログラムリスト!A11))</f>
        <v>1</v>
      </c>
    </row>
    <row r="12" spans="1:2">
      <c r="A12" t="s">
        <v>38</v>
      </c>
      <c r="B12">
        <f>IF(A12="","",COUNTIF(コマンド!B:B,プログラムリスト!A12))</f>
        <v>1</v>
      </c>
    </row>
    <row r="13" spans="1:2">
      <c r="A13" t="s">
        <v>39</v>
      </c>
      <c r="B13">
        <f>IF(A13="","",COUNTIF(コマンド!B:B,プログラムリスト!A13))</f>
        <v>1</v>
      </c>
    </row>
    <row r="14" spans="1:2">
      <c r="A14" t="s">
        <v>40</v>
      </c>
      <c r="B14">
        <f>IF(A14="","",COUNTIF(コマンド!B:B,プログラムリスト!A14))</f>
        <v>1</v>
      </c>
    </row>
    <row r="15" spans="1:2">
      <c r="A15" t="s">
        <v>41</v>
      </c>
      <c r="B15">
        <f>IF(A15="","",COUNTIF(コマンド!B:B,プログラムリスト!A15))</f>
        <v>1</v>
      </c>
    </row>
    <row r="16" spans="1:2">
      <c r="A16" t="s">
        <v>42</v>
      </c>
      <c r="B16">
        <f>IF(A16="","",COUNTIF(コマンド!B:B,プログラムリスト!A16))</f>
        <v>1</v>
      </c>
    </row>
    <row r="17" spans="1:2">
      <c r="A17" t="s">
        <v>43</v>
      </c>
      <c r="B17">
        <f>IF(A17="","",COUNTIF(コマンド!B:B,プログラムリスト!A17))</f>
        <v>1</v>
      </c>
    </row>
    <row r="18" spans="1:2">
      <c r="A18" t="s">
        <v>44</v>
      </c>
      <c r="B18">
        <f>IF(A18="","",COUNTIF(コマンド!B:B,プログラムリスト!A18))</f>
        <v>1</v>
      </c>
    </row>
    <row r="19" spans="1:2">
      <c r="A19" t="s">
        <v>45</v>
      </c>
      <c r="B19">
        <f>IF(A19="","",COUNTIF(コマンド!B:B,プログラムリスト!A19))</f>
        <v>1</v>
      </c>
    </row>
    <row r="20" spans="1:2">
      <c r="A20" t="s">
        <v>46</v>
      </c>
      <c r="B20">
        <f>IF(A20="","",COUNTIF(コマンド!B:B,プログラムリスト!A20))</f>
        <v>1</v>
      </c>
    </row>
    <row r="21" spans="1:2">
      <c r="A21" t="s">
        <v>47</v>
      </c>
      <c r="B21">
        <f>IF(A21="","",COUNTIF(コマンド!B:B,プログラムリスト!A21))</f>
        <v>1</v>
      </c>
    </row>
    <row r="22" spans="1:2">
      <c r="A22" t="s">
        <v>48</v>
      </c>
      <c r="B22">
        <f>IF(A22="","",COUNTIF(コマンド!B:B,プログラムリスト!A22))</f>
        <v>1</v>
      </c>
    </row>
    <row r="23" spans="1:2">
      <c r="A23" t="s">
        <v>49</v>
      </c>
      <c r="B23">
        <f>IF(A23="","",COUNTIF(コマンド!B:B,プログラムリスト!A23))</f>
        <v>1</v>
      </c>
    </row>
    <row r="24" spans="1:2">
      <c r="A24" t="s">
        <v>10</v>
      </c>
      <c r="B24">
        <f>IF(A24="","",COUNTIF(コマンド!B:B,プログラムリスト!A24))</f>
        <v>1</v>
      </c>
    </row>
    <row r="25" spans="1:2">
      <c r="A25" t="s">
        <v>50</v>
      </c>
      <c r="B25">
        <f>IF(A25="","",COUNTIF(コマンド!B:B,プログラムリスト!A25))</f>
        <v>1</v>
      </c>
    </row>
    <row r="26" spans="1:2">
      <c r="A26" t="s">
        <v>11</v>
      </c>
      <c r="B26">
        <f>IF(A26="","",COUNTIF(コマンド!B:B,プログラムリスト!A26))</f>
        <v>1</v>
      </c>
    </row>
    <row r="27" spans="1:2">
      <c r="A27" t="s">
        <v>12</v>
      </c>
      <c r="B27">
        <f>IF(A27="","",COUNTIF(コマンド!B:B,プログラムリスト!A27))</f>
        <v>1</v>
      </c>
    </row>
    <row r="28" spans="1:2">
      <c r="A28" t="s">
        <v>13</v>
      </c>
      <c r="B28">
        <f>IF(A28="","",COUNTIF(コマンド!B:B,プログラムリスト!A28))</f>
        <v>1</v>
      </c>
    </row>
    <row r="29" spans="1:2">
      <c r="A29" t="s">
        <v>51</v>
      </c>
      <c r="B29">
        <f>IF(A29="","",COUNTIF(コマンド!B:B,プログラムリスト!A29))</f>
        <v>1</v>
      </c>
    </row>
    <row r="30" spans="1:2">
      <c r="A30" t="s">
        <v>52</v>
      </c>
      <c r="B30">
        <f>IF(A30="","",COUNTIF(コマンド!B:B,プログラムリスト!A30))</f>
        <v>1</v>
      </c>
    </row>
    <row r="31" spans="1:2">
      <c r="A31" t="s">
        <v>53</v>
      </c>
      <c r="B31">
        <f>IF(A31="","",COUNTIF(コマンド!B:B,プログラムリスト!A31))</f>
        <v>1</v>
      </c>
    </row>
    <row r="32" spans="1:2">
      <c r="A32" t="s">
        <v>54</v>
      </c>
      <c r="B32">
        <f>IF(A32="","",COUNTIF(コマンド!B:B,プログラムリスト!A32))</f>
        <v>1</v>
      </c>
    </row>
    <row r="33" spans="1:2">
      <c r="A33" t="s">
        <v>14</v>
      </c>
      <c r="B33">
        <f>IF(A33="","",COUNTIF(コマンド!B:B,プログラムリスト!A33))</f>
        <v>1</v>
      </c>
    </row>
    <row r="34" spans="1:2">
      <c r="A34" t="s">
        <v>55</v>
      </c>
      <c r="B34">
        <f>IF(A34="","",COUNTIF(コマンド!B:B,プログラムリスト!A34))</f>
        <v>1</v>
      </c>
    </row>
    <row r="35" spans="1:2">
      <c r="A35" t="s">
        <v>56</v>
      </c>
      <c r="B35">
        <f>IF(A35="","",COUNTIF(コマンド!B:B,プログラムリスト!A35))</f>
        <v>1</v>
      </c>
    </row>
    <row r="36" spans="1:2">
      <c r="A36" t="s">
        <v>15</v>
      </c>
      <c r="B36">
        <f>IF(A36="","",COUNTIF(コマンド!B:B,プログラムリスト!A36))</f>
        <v>1</v>
      </c>
    </row>
    <row r="37" spans="1:2">
      <c r="A37" t="s">
        <v>57</v>
      </c>
      <c r="B37">
        <f>IF(A37="","",COUNTIF(コマンド!B:B,プログラムリスト!A37))</f>
        <v>1</v>
      </c>
    </row>
    <row r="38" spans="1:2">
      <c r="A38" t="s">
        <v>58</v>
      </c>
      <c r="B38">
        <f>IF(A38="","",COUNTIF(コマンド!B:B,プログラムリスト!A38))</f>
        <v>1</v>
      </c>
    </row>
    <row r="39" spans="1:2">
      <c r="A39" t="s">
        <v>115</v>
      </c>
      <c r="B39">
        <f>IF(A39="","",COUNTIF(コマンド!B:B,プログラムリスト!A39))</f>
        <v>1</v>
      </c>
    </row>
    <row r="40" spans="1:2">
      <c r="A40" t="s">
        <v>16</v>
      </c>
      <c r="B40">
        <f>IF(A40="","",COUNTIF(コマンド!B:B,プログラムリスト!A40))</f>
        <v>1</v>
      </c>
    </row>
    <row r="41" spans="1:2">
      <c r="A41" t="s">
        <v>17</v>
      </c>
      <c r="B41">
        <f>IF(A41="","",COUNTIF(コマンド!B:B,プログラムリスト!A41))</f>
        <v>1</v>
      </c>
    </row>
    <row r="42" spans="1:2">
      <c r="A42" t="s">
        <v>59</v>
      </c>
      <c r="B42">
        <f>IF(A42="","",COUNTIF(コマンド!B:B,プログラムリスト!A42))</f>
        <v>1</v>
      </c>
    </row>
    <row r="43" spans="1:2">
      <c r="A43" t="s">
        <v>60</v>
      </c>
      <c r="B43">
        <f>IF(A43="","",COUNTIF(コマンド!B:B,プログラムリスト!A43))</f>
        <v>1</v>
      </c>
    </row>
    <row r="44" spans="1:2">
      <c r="A44" t="s">
        <v>61</v>
      </c>
      <c r="B44">
        <f>IF(A44="","",COUNTIF(コマンド!B:B,プログラムリスト!A44))</f>
        <v>1</v>
      </c>
    </row>
    <row r="45" spans="1:2">
      <c r="A45" t="s">
        <v>62</v>
      </c>
      <c r="B45">
        <f>IF(A45="","",COUNTIF(コマンド!B:B,プログラムリスト!A45))</f>
        <v>1</v>
      </c>
    </row>
    <row r="46" spans="1:2">
      <c r="A46" t="s">
        <v>18</v>
      </c>
      <c r="B46">
        <f>IF(A46="","",COUNTIF(コマンド!B:B,プログラムリスト!A46))</f>
        <v>1</v>
      </c>
    </row>
    <row r="47" spans="1:2">
      <c r="A47" t="s">
        <v>109</v>
      </c>
      <c r="B47">
        <f>IF(A47="","",COUNTIF(コマンド!B:B,プログラムリスト!A47))</f>
        <v>0</v>
      </c>
    </row>
    <row r="48" spans="1:2">
      <c r="A48" t="s">
        <v>110</v>
      </c>
      <c r="B48">
        <f>IF(A48="","",COUNTIF(コマンド!B:B,プログラムリスト!A48))</f>
        <v>0</v>
      </c>
    </row>
    <row r="49" spans="1:2">
      <c r="A49" t="s">
        <v>111</v>
      </c>
      <c r="B49">
        <f>IF(A49="","",COUNTIF(コマンド!B:B,プログラムリスト!A49))</f>
        <v>0</v>
      </c>
    </row>
    <row r="50" spans="1:2">
      <c r="A50" t="s">
        <v>114</v>
      </c>
      <c r="B50">
        <f>IF(A50="","",COUNTIF(コマンド!B:B,プログラムリスト!A50))</f>
        <v>0</v>
      </c>
    </row>
    <row r="51" spans="1:2">
      <c r="A51" t="s">
        <v>19</v>
      </c>
      <c r="B51">
        <f>IF(A51="","",COUNTIF(コマンド!B:B,プログラムリスト!A51))</f>
        <v>1</v>
      </c>
    </row>
    <row r="52" spans="1:2">
      <c r="A52" t="s">
        <v>63</v>
      </c>
      <c r="B52">
        <f>IF(A52="","",COUNTIF(コマンド!B:B,プログラムリスト!A52))</f>
        <v>1</v>
      </c>
    </row>
    <row r="53" spans="1:2">
      <c r="A53" t="s">
        <v>64</v>
      </c>
      <c r="B53">
        <f>IF(A53="","",COUNTIF(コマンド!B:B,プログラムリスト!A53))</f>
        <v>1</v>
      </c>
    </row>
    <row r="54" spans="1:2">
      <c r="A54" t="s">
        <v>65</v>
      </c>
      <c r="B54">
        <f>IF(A54="","",COUNTIF(コマンド!B:B,プログラムリスト!A54))</f>
        <v>1</v>
      </c>
    </row>
    <row r="55" spans="1:2">
      <c r="A55" t="s">
        <v>66</v>
      </c>
      <c r="B55">
        <f>IF(A55="","",COUNTIF(コマンド!B:B,プログラムリスト!A55))</f>
        <v>1</v>
      </c>
    </row>
    <row r="56" spans="1:2">
      <c r="A56" t="s">
        <v>67</v>
      </c>
      <c r="B56">
        <f>IF(A56="","",COUNTIF(コマンド!B:B,プログラムリスト!A56))</f>
        <v>1</v>
      </c>
    </row>
    <row r="57" spans="1:2">
      <c r="A57" t="s">
        <v>20</v>
      </c>
      <c r="B57">
        <f>IF(A57="","",COUNTIF(コマンド!B:B,プログラムリスト!A57))</f>
        <v>1</v>
      </c>
    </row>
    <row r="58" spans="1:2">
      <c r="A58" t="s">
        <v>68</v>
      </c>
      <c r="B58">
        <f>IF(A58="","",COUNTIF(コマンド!B:B,プログラムリスト!A58))</f>
        <v>1</v>
      </c>
    </row>
    <row r="59" spans="1:2">
      <c r="A59" t="s">
        <v>69</v>
      </c>
      <c r="B59">
        <f>IF(A59="","",COUNTIF(コマンド!B:B,プログラムリスト!A59))</f>
        <v>1</v>
      </c>
    </row>
    <row r="60" spans="1:2">
      <c r="A60" t="s">
        <v>70</v>
      </c>
      <c r="B60">
        <f>IF(A60="","",COUNTIF(コマンド!B:B,プログラムリスト!A60))</f>
        <v>1</v>
      </c>
    </row>
    <row r="61" spans="1:2">
      <c r="A61" t="s">
        <v>71</v>
      </c>
      <c r="B61">
        <f>IF(A61="","",COUNTIF(コマンド!B:B,プログラムリスト!A61))</f>
        <v>1</v>
      </c>
    </row>
    <row r="62" spans="1:2">
      <c r="A62" t="s">
        <v>72</v>
      </c>
      <c r="B62">
        <f>IF(A62="","",COUNTIF(コマンド!B:B,プログラムリスト!A62))</f>
        <v>1</v>
      </c>
    </row>
    <row r="63" spans="1:2">
      <c r="A63" t="s">
        <v>73</v>
      </c>
      <c r="B63">
        <f>IF(A63="","",COUNTIF(コマンド!B:B,プログラムリスト!A63))</f>
        <v>1</v>
      </c>
    </row>
    <row r="64" spans="1:2">
      <c r="A64" t="s">
        <v>103</v>
      </c>
      <c r="B64">
        <f>IF(A64="","",COUNTIF(コマンド!B:B,プログラムリスト!A64))</f>
        <v>1</v>
      </c>
    </row>
    <row r="65" spans="1:2">
      <c r="A65" t="s">
        <v>74</v>
      </c>
      <c r="B65">
        <f>IF(A65="","",COUNTIF(コマンド!B:B,プログラムリスト!A65))</f>
        <v>1</v>
      </c>
    </row>
    <row r="66" spans="1:2">
      <c r="A66" t="s">
        <v>75</v>
      </c>
      <c r="B66">
        <f>IF(A66="","",COUNTIF(コマンド!B:B,プログラムリスト!A66))</f>
        <v>1</v>
      </c>
    </row>
    <row r="67" spans="1:2">
      <c r="A67" t="s">
        <v>76</v>
      </c>
      <c r="B67">
        <f>IF(A67="","",COUNTIF(コマンド!B:B,プログラムリスト!A67))</f>
        <v>1</v>
      </c>
    </row>
    <row r="68" spans="1:2">
      <c r="A68" t="s">
        <v>21</v>
      </c>
      <c r="B68">
        <f>IF(A68="","",COUNTIF(コマンド!B:B,プログラムリスト!A68))</f>
        <v>1</v>
      </c>
    </row>
    <row r="69" spans="1:2">
      <c r="A69" t="s">
        <v>77</v>
      </c>
      <c r="B69">
        <f>IF(A69="","",COUNTIF(コマンド!B:B,プログラムリスト!A69))</f>
        <v>1</v>
      </c>
    </row>
    <row r="70" spans="1:2">
      <c r="A70" t="s">
        <v>78</v>
      </c>
      <c r="B70">
        <f>IF(A70="","",COUNTIF(コマンド!B:B,プログラムリスト!A70))</f>
        <v>1</v>
      </c>
    </row>
    <row r="71" spans="1:2">
      <c r="A71" t="s">
        <v>79</v>
      </c>
      <c r="B71">
        <f>IF(A71="","",COUNTIF(コマンド!B:B,プログラムリスト!A71))</f>
        <v>1</v>
      </c>
    </row>
    <row r="72" spans="1:2">
      <c r="A72" t="s">
        <v>22</v>
      </c>
      <c r="B72">
        <f>IF(A72="","",COUNTIF(コマンド!B:B,プログラムリスト!A72))</f>
        <v>1</v>
      </c>
    </row>
    <row r="73" spans="1:2">
      <c r="A73" t="s">
        <v>80</v>
      </c>
      <c r="B73">
        <f>IF(A73="","",COUNTIF(コマンド!B:B,プログラムリスト!A73))</f>
        <v>1</v>
      </c>
    </row>
    <row r="74" spans="1:2">
      <c r="A74" t="s">
        <v>81</v>
      </c>
      <c r="B74">
        <f>IF(A74="","",COUNTIF(コマンド!B:B,プログラムリスト!A74))</f>
        <v>1</v>
      </c>
    </row>
    <row r="75" spans="1:2">
      <c r="A75" t="s">
        <v>105</v>
      </c>
      <c r="B75">
        <f>IF(A75="","",COUNTIF(コマンド!B:B,プログラムリスト!A75))</f>
        <v>1</v>
      </c>
    </row>
    <row r="76" spans="1:2">
      <c r="A76" t="s">
        <v>106</v>
      </c>
      <c r="B76">
        <f>IF(A76="","",COUNTIF(コマンド!B:B,プログラムリスト!A76))</f>
        <v>1</v>
      </c>
    </row>
    <row r="77" spans="1:2">
      <c r="A77" t="s">
        <v>82</v>
      </c>
      <c r="B77">
        <f>IF(A77="","",COUNTIF(コマンド!B:B,プログラムリスト!A77))</f>
        <v>1</v>
      </c>
    </row>
    <row r="78" spans="1:2">
      <c r="A78" t="s">
        <v>83</v>
      </c>
      <c r="B78">
        <f>IF(A78="","",COUNTIF(コマンド!B:B,プログラムリスト!A78))</f>
        <v>1</v>
      </c>
    </row>
    <row r="79" spans="1:2">
      <c r="A79" t="s">
        <v>84</v>
      </c>
      <c r="B79">
        <f>IF(A79="","",COUNTIF(コマンド!B:B,プログラムリスト!A79))</f>
        <v>1</v>
      </c>
    </row>
    <row r="80" spans="1:2">
      <c r="A80" t="s">
        <v>23</v>
      </c>
      <c r="B80">
        <f>IF(A80="","",COUNTIF(コマンド!B:B,プログラムリスト!A80))</f>
        <v>1</v>
      </c>
    </row>
    <row r="81" spans="1:2">
      <c r="A81" t="s">
        <v>85</v>
      </c>
      <c r="B81">
        <f>IF(A81="","",COUNTIF(コマンド!B:B,プログラムリスト!A81))</f>
        <v>1</v>
      </c>
    </row>
    <row r="82" spans="1:2">
      <c r="A82" t="s">
        <v>86</v>
      </c>
      <c r="B82">
        <f>IF(A82="","",COUNTIF(コマンド!B:B,プログラムリスト!A82))</f>
        <v>1</v>
      </c>
    </row>
    <row r="83" spans="1:2">
      <c r="A83" t="s">
        <v>87</v>
      </c>
      <c r="B83">
        <f>IF(A83="","",COUNTIF(コマンド!B:B,プログラムリスト!A83))</f>
        <v>1</v>
      </c>
    </row>
    <row r="84" spans="1:2">
      <c r="A84" t="s">
        <v>88</v>
      </c>
      <c r="B84">
        <f>IF(A84="","",COUNTIF(コマンド!B:B,プログラムリスト!A84))</f>
        <v>1</v>
      </c>
    </row>
    <row r="85" spans="1:2">
      <c r="A85" t="s">
        <v>24</v>
      </c>
      <c r="B85">
        <f>IF(A85="","",COUNTIF(コマンド!B:B,プログラムリスト!A85))</f>
        <v>1</v>
      </c>
    </row>
    <row r="86" spans="1:2">
      <c r="A86" t="s">
        <v>89</v>
      </c>
      <c r="B86">
        <f>IF(A86="","",COUNTIF(コマンド!B:B,プログラムリスト!A86))</f>
        <v>1</v>
      </c>
    </row>
    <row r="87" spans="1:2">
      <c r="A87" t="s">
        <v>90</v>
      </c>
      <c r="B87">
        <f>IF(A87="","",COUNTIF(コマンド!B:B,プログラムリスト!A87))</f>
        <v>1</v>
      </c>
    </row>
    <row r="88" spans="1:2">
      <c r="A88" t="s">
        <v>91</v>
      </c>
      <c r="B88">
        <f>IF(A88="","",COUNTIF(コマンド!B:B,プログラムリスト!A88))</f>
        <v>1</v>
      </c>
    </row>
    <row r="89" spans="1:2">
      <c r="A89" t="s">
        <v>25</v>
      </c>
      <c r="B89">
        <f>IF(A89="","",COUNTIF(コマンド!B:B,プログラムリスト!A89))</f>
        <v>1</v>
      </c>
    </row>
    <row r="90" spans="1:2">
      <c r="A90" t="s">
        <v>116</v>
      </c>
      <c r="B90">
        <f>IF(A90="","",COUNTIF(コマンド!B:B,プログラムリスト!A90))</f>
        <v>1</v>
      </c>
    </row>
    <row r="91" spans="1:2">
      <c r="A91" t="s">
        <v>92</v>
      </c>
      <c r="B91">
        <f>IF(A91="","",COUNTIF(コマンド!B:B,プログラムリスト!A91))</f>
        <v>1</v>
      </c>
    </row>
    <row r="92" spans="1:2">
      <c r="A92" t="s">
        <v>112</v>
      </c>
      <c r="B92">
        <f>IF(A92="","",COUNTIF(コマンド!B:B,プログラムリスト!A92))</f>
        <v>1</v>
      </c>
    </row>
    <row r="93" spans="1:2">
      <c r="A93" t="s">
        <v>93</v>
      </c>
      <c r="B93">
        <f>IF(A93="","",COUNTIF(コマンド!B:B,プログラムリスト!A93))</f>
        <v>1</v>
      </c>
    </row>
    <row r="94" spans="1:2">
      <c r="A94" t="s">
        <v>94</v>
      </c>
      <c r="B94">
        <f>IF(A94="","",COUNTIF(コマンド!B:B,プログラムリスト!A94))</f>
        <v>1</v>
      </c>
    </row>
    <row r="95" spans="1:2">
      <c r="A95" t="s">
        <v>26</v>
      </c>
      <c r="B95">
        <f>IF(A95="","",COUNTIF(コマンド!B:B,プログラムリスト!A95))</f>
        <v>1</v>
      </c>
    </row>
    <row r="96" spans="1:2">
      <c r="A96" t="s">
        <v>95</v>
      </c>
      <c r="B96">
        <f>IF(A96="","",COUNTIF(コマンド!B:B,プログラムリスト!A96))</f>
        <v>1</v>
      </c>
    </row>
    <row r="97" spans="1:2">
      <c r="A97" t="s">
        <v>96</v>
      </c>
      <c r="B97">
        <f>IF(A97="","",COUNTIF(コマンド!B:B,プログラムリスト!A97))</f>
        <v>1</v>
      </c>
    </row>
    <row r="98" spans="1:2">
      <c r="A98" t="s">
        <v>97</v>
      </c>
      <c r="B98">
        <f>IF(A98="","",COUNTIF(コマンド!B:B,プログラムリスト!A98))</f>
        <v>1</v>
      </c>
    </row>
    <row r="99" spans="1:2">
      <c r="A99" t="s">
        <v>98</v>
      </c>
      <c r="B99">
        <f>IF(A99="","",COUNTIF(コマンド!B:B,プログラムリスト!A99))</f>
        <v>1</v>
      </c>
    </row>
    <row r="100" spans="1:2">
      <c r="A100" t="s">
        <v>27</v>
      </c>
      <c r="B100">
        <f>IF(A100="","",COUNTIF(コマンド!B:B,プログラムリスト!A100))</f>
        <v>1</v>
      </c>
    </row>
    <row r="101" spans="1:2">
      <c r="A101" t="s">
        <v>113</v>
      </c>
      <c r="B101">
        <f>IF(A101="","",COUNTIF(コマンド!B:B,プログラムリスト!A101))</f>
        <v>0</v>
      </c>
    </row>
    <row r="102" spans="1:2">
      <c r="B102" t="str">
        <f>IF(A102="","",COUNTIF(コマンド!B:B,プログラムリスト!A102))</f>
        <v/>
      </c>
    </row>
    <row r="103" spans="1:2">
      <c r="B103" t="str">
        <f>IF(A103="","",COUNTIF(コマンド!B:B,プログラムリスト!A103))</f>
        <v/>
      </c>
    </row>
    <row r="104" spans="1:2">
      <c r="B104" t="str">
        <f>IF(A104="","",COUNTIF(コマンド!B:B,プログラムリスト!A104))</f>
        <v/>
      </c>
    </row>
    <row r="105" spans="1:2">
      <c r="B105" t="str">
        <f>IF(A105="","",COUNTIF(コマンド!B:B,プログラムリスト!A105))</f>
        <v/>
      </c>
    </row>
    <row r="106" spans="1:2">
      <c r="B106" t="str">
        <f>IF(A106="","",COUNTIF(コマンド!B:B,プログラムリスト!A106))</f>
        <v/>
      </c>
    </row>
    <row r="107" spans="1:2">
      <c r="B107" t="str">
        <f>IF(A107="","",COUNTIF(コマンド!B:B,プログラムリスト!A107))</f>
        <v/>
      </c>
    </row>
    <row r="108" spans="1:2">
      <c r="B108" t="str">
        <f>IF(A108="","",COUNTIF(コマンド!B:B,プログラムリスト!A108))</f>
        <v/>
      </c>
    </row>
    <row r="109" spans="1:2">
      <c r="B109" t="str">
        <f>IF(A109="","",COUNTIF(コマンド!B:B,プログラムリスト!A109))</f>
        <v/>
      </c>
    </row>
    <row r="110" spans="1:2">
      <c r="B110" t="str">
        <f>IF(A110="","",COUNTIF(コマンド!B:B,プログラムリスト!A110))</f>
        <v/>
      </c>
    </row>
    <row r="111" spans="1:2">
      <c r="B111" t="str">
        <f>IF(A111="","",COUNTIF(コマンド!B:B,プログラムリスト!A111))</f>
        <v/>
      </c>
    </row>
    <row r="112" spans="1:2">
      <c r="B112" t="str">
        <f>IF(A112="","",COUNTIF(コマンド!B:B,プログラムリスト!A112))</f>
        <v/>
      </c>
    </row>
    <row r="113" spans="2:2">
      <c r="B113" t="str">
        <f>IF(A113="","",COUNTIF(コマンド!B:B,プログラムリスト!A113))</f>
        <v/>
      </c>
    </row>
    <row r="114" spans="2:2">
      <c r="B114" t="str">
        <f>IF(A114="","",COUNTIF(コマンド!B:B,プログラムリスト!A114))</f>
        <v/>
      </c>
    </row>
    <row r="115" spans="2:2">
      <c r="B115" t="str">
        <f>IF(A115="","",COUNTIF(コマンド!B:B,プログラムリスト!A115))</f>
        <v/>
      </c>
    </row>
    <row r="116" spans="2:2">
      <c r="B116" t="str">
        <f>IF(A116="","",COUNTIF(コマンド!B:B,プログラムリスト!A116))</f>
        <v/>
      </c>
    </row>
    <row r="117" spans="2:2">
      <c r="B117" t="str">
        <f>IF(A117="","",COUNTIF(コマンド!B:B,プログラムリスト!A117))</f>
        <v/>
      </c>
    </row>
    <row r="118" spans="2:2">
      <c r="B118" t="str">
        <f>IF(A118="","",COUNTIF(コマンド!B:B,プログラムリスト!A118))</f>
        <v/>
      </c>
    </row>
    <row r="119" spans="2:2">
      <c r="B119" t="str">
        <f>IF(A119="","",COUNTIF(コマンド!B:B,プログラムリスト!A119))</f>
        <v/>
      </c>
    </row>
    <row r="120" spans="2:2">
      <c r="B120" t="str">
        <f>IF(A120="","",COUNTIF(コマンド!B:B,プログラムリスト!A120))</f>
        <v/>
      </c>
    </row>
    <row r="121" spans="2:2">
      <c r="B121" t="str">
        <f>IF(A121="","",COUNTIF(コマンド!B:B,プログラムリスト!A121))</f>
        <v/>
      </c>
    </row>
    <row r="122" spans="2:2">
      <c r="B122" t="str">
        <f>IF(A122="","",COUNTIF(コマンド!B:B,プログラムリスト!A122))</f>
        <v/>
      </c>
    </row>
    <row r="123" spans="2:2">
      <c r="B123" t="str">
        <f>IF(A123="","",COUNTIF(コマンド!B:B,プログラムリスト!A123))</f>
        <v/>
      </c>
    </row>
    <row r="124" spans="2:2">
      <c r="B124" t="str">
        <f>IF(A124="","",COUNTIF(コマンド!B:B,プログラムリスト!A124))</f>
        <v/>
      </c>
    </row>
    <row r="125" spans="2:2">
      <c r="B125" t="str">
        <f>IF(A125="","",COUNTIF(コマンド!B:B,プログラムリスト!A125))</f>
        <v/>
      </c>
    </row>
    <row r="126" spans="2:2">
      <c r="B126" t="str">
        <f>IF(A126="","",COUNTIF(コマンド!B:B,プログラムリスト!A126))</f>
        <v/>
      </c>
    </row>
    <row r="127" spans="2:2">
      <c r="B127" t="str">
        <f>IF(A127="","",COUNTIF(コマンド!B:B,プログラムリスト!A127))</f>
        <v/>
      </c>
    </row>
    <row r="128" spans="2:2">
      <c r="B128" t="str">
        <f>IF(A128="","",COUNTIF(コマンド!B:B,プログラムリスト!A128))</f>
        <v/>
      </c>
    </row>
    <row r="129" spans="2:2">
      <c r="B129" t="str">
        <f>IF(A129="","",COUNTIF(コマンド!B:B,プログラムリスト!A129))</f>
        <v/>
      </c>
    </row>
    <row r="130" spans="2:2">
      <c r="B130" t="str">
        <f>IF(A130="","",COUNTIF(コマンド!B:B,プログラムリスト!A130))</f>
        <v/>
      </c>
    </row>
    <row r="131" spans="2:2">
      <c r="B131" t="str">
        <f>IF(A131="","",COUNTIF(コマンド!B:B,プログラムリスト!A131))</f>
        <v/>
      </c>
    </row>
    <row r="132" spans="2:2">
      <c r="B132" t="str">
        <f>IF(A132="","",COUNTIF(コマンド!B:B,プログラムリスト!A132))</f>
        <v/>
      </c>
    </row>
    <row r="133" spans="2:2">
      <c r="B133" t="str">
        <f>IF(A133="","",COUNTIF(コマンド!B:B,プログラムリスト!A133))</f>
        <v/>
      </c>
    </row>
    <row r="134" spans="2:2">
      <c r="B134" t="str">
        <f>IF(A134="","",COUNTIF(コマンド!B:B,プログラムリスト!A134))</f>
        <v/>
      </c>
    </row>
    <row r="135" spans="2:2">
      <c r="B135" t="str">
        <f>IF(A135="","",COUNTIF(コマンド!B:B,プログラムリスト!A135))</f>
        <v/>
      </c>
    </row>
    <row r="136" spans="2:2">
      <c r="B136" t="str">
        <f>IF(A136="","",COUNTIF(コマンド!B:B,プログラムリスト!A136))</f>
        <v/>
      </c>
    </row>
    <row r="137" spans="2:2">
      <c r="B137" t="str">
        <f>IF(A137="","",COUNTIF(コマンド!B:B,プログラムリスト!A137))</f>
        <v/>
      </c>
    </row>
    <row r="138" spans="2:2">
      <c r="B138" t="str">
        <f>IF(A138="","",COUNTIF(コマンド!B:B,プログラムリスト!A138))</f>
        <v/>
      </c>
    </row>
    <row r="139" spans="2:2">
      <c r="B139" t="str">
        <f>IF(A139="","",COUNTIF(コマンド!B:B,プログラムリスト!A139))</f>
        <v/>
      </c>
    </row>
    <row r="140" spans="2:2">
      <c r="B140" t="str">
        <f>IF(A140="","",COUNTIF(コマンド!B:B,プログラムリスト!A140))</f>
        <v/>
      </c>
    </row>
    <row r="141" spans="2:2">
      <c r="B141" t="str">
        <f>IF(A141="","",COUNTIF(コマンド!B:B,プログラムリスト!A141))</f>
        <v/>
      </c>
    </row>
    <row r="142" spans="2:2">
      <c r="B142" t="str">
        <f>IF(A142="","",COUNTIF(コマンド!B:B,プログラムリスト!A142))</f>
        <v/>
      </c>
    </row>
    <row r="143" spans="2:2">
      <c r="B143" t="str">
        <f>IF(A143="","",COUNTIF(コマンド!B:B,プログラムリスト!A143))</f>
        <v/>
      </c>
    </row>
    <row r="144" spans="2:2">
      <c r="B144" t="str">
        <f>IF(A144="","",COUNTIF(コマンド!B:B,プログラムリスト!A144))</f>
        <v/>
      </c>
    </row>
    <row r="145" spans="2:2">
      <c r="B145" t="str">
        <f>IF(A145="","",COUNTIF(コマンド!B:B,プログラムリスト!A145))</f>
        <v/>
      </c>
    </row>
    <row r="146" spans="2:2">
      <c r="B146" t="str">
        <f>IF(A146="","",COUNTIF(コマンド!B:B,プログラムリスト!A146))</f>
        <v/>
      </c>
    </row>
    <row r="147" spans="2:2">
      <c r="B147" t="str">
        <f>IF(A147="","",COUNTIF(コマンド!B:B,プログラムリスト!A147))</f>
        <v/>
      </c>
    </row>
    <row r="148" spans="2:2">
      <c r="B148" t="str">
        <f>IF(A148="","",COUNTIF(コマンド!B:B,プログラムリスト!A148))</f>
        <v/>
      </c>
    </row>
    <row r="149" spans="2:2">
      <c r="B149" t="str">
        <f>IF(A149="","",COUNTIF(コマンド!B:B,プログラムリスト!A149))</f>
        <v/>
      </c>
    </row>
    <row r="150" spans="2:2">
      <c r="B150" t="str">
        <f>IF(A150="","",COUNTIF(コマンド!B:B,プログラムリスト!A150))</f>
        <v/>
      </c>
    </row>
    <row r="151" spans="2:2">
      <c r="B151" t="str">
        <f>IF(A151="","",COUNTIF(コマンド!B:B,プログラムリスト!A151))</f>
        <v/>
      </c>
    </row>
    <row r="152" spans="2:2">
      <c r="B152" t="str">
        <f>IF(A152="","",COUNTIF(コマンド!B:B,プログラムリスト!A152))</f>
        <v/>
      </c>
    </row>
    <row r="153" spans="2:2">
      <c r="B153" t="str">
        <f>IF(A153="","",COUNTIF(コマンド!B:B,プログラムリスト!A153))</f>
        <v/>
      </c>
    </row>
    <row r="154" spans="2:2">
      <c r="B154" t="str">
        <f>IF(A154="","",COUNTIF(コマンド!B:B,プログラムリスト!A154))</f>
        <v/>
      </c>
    </row>
    <row r="155" spans="2:2">
      <c r="B155" t="str">
        <f>IF(A155="","",COUNTIF(コマンド!B:B,プログラムリスト!A155))</f>
        <v/>
      </c>
    </row>
    <row r="156" spans="2:2">
      <c r="B156" t="str">
        <f>IF(A156="","",COUNTIF(コマンド!B:B,プログラムリスト!A156))</f>
        <v/>
      </c>
    </row>
    <row r="157" spans="2:2">
      <c r="B157" t="str">
        <f>IF(A157="","",COUNTIF(コマンド!B:B,プログラムリスト!A157))</f>
        <v/>
      </c>
    </row>
    <row r="158" spans="2:2">
      <c r="B158" t="str">
        <f>IF(A158="","",COUNTIF(コマンド!B:B,プログラムリスト!A158))</f>
        <v/>
      </c>
    </row>
    <row r="159" spans="2:2">
      <c r="B159" t="str">
        <f>IF(A159="","",COUNTIF(コマンド!B:B,プログラムリスト!A159))</f>
        <v/>
      </c>
    </row>
    <row r="160" spans="2:2">
      <c r="B160" t="str">
        <f>IF(A160="","",COUNTIF(コマンド!B:B,プログラムリスト!A160))</f>
        <v/>
      </c>
    </row>
    <row r="161" spans="2:2">
      <c r="B161" t="str">
        <f>IF(A161="","",COUNTIF(コマンド!B:B,プログラムリスト!A161))</f>
        <v/>
      </c>
    </row>
    <row r="162" spans="2:2">
      <c r="B162" t="str">
        <f>IF(A162="","",COUNTIF(コマンド!B:B,プログラムリスト!A162))</f>
        <v/>
      </c>
    </row>
    <row r="163" spans="2:2">
      <c r="B163" t="str">
        <f>IF(A163="","",COUNTIF(コマンド!B:B,プログラムリスト!A163))</f>
        <v/>
      </c>
    </row>
    <row r="164" spans="2:2">
      <c r="B164" t="str">
        <f>IF(A164="","",COUNTIF(コマンド!B:B,プログラムリスト!A164))</f>
        <v/>
      </c>
    </row>
    <row r="165" spans="2:2">
      <c r="B165" t="str">
        <f>IF(A165="","",COUNTIF(コマンド!B:B,プログラムリスト!A165))</f>
        <v/>
      </c>
    </row>
    <row r="166" spans="2:2">
      <c r="B166" t="str">
        <f>IF(A166="","",COUNTIF(コマンド!B:B,プログラムリスト!A166))</f>
        <v/>
      </c>
    </row>
    <row r="167" spans="2:2">
      <c r="B167" t="str">
        <f>IF(A167="","",COUNTIF(コマンド!B:B,プログラムリスト!A167))</f>
        <v/>
      </c>
    </row>
    <row r="168" spans="2:2">
      <c r="B168" t="str">
        <f>IF(A168="","",COUNTIF(コマンド!B:B,プログラムリスト!A168))</f>
        <v/>
      </c>
    </row>
    <row r="169" spans="2:2">
      <c r="B169" t="str">
        <f>IF(A169="","",COUNTIF(コマンド!B:B,プログラムリスト!A169))</f>
        <v/>
      </c>
    </row>
    <row r="170" spans="2:2">
      <c r="B170" t="str">
        <f>IF(A170="","",COUNTIF(コマンド!B:B,プログラムリスト!A170))</f>
        <v/>
      </c>
    </row>
    <row r="171" spans="2:2">
      <c r="B171" t="str">
        <f>IF(A171="","",COUNTIF(コマンド!B:B,プログラムリスト!A171))</f>
        <v/>
      </c>
    </row>
    <row r="172" spans="2:2">
      <c r="B172" t="str">
        <f>IF(A172="","",COUNTIF(コマンド!B:B,プログラムリスト!A172))</f>
        <v/>
      </c>
    </row>
    <row r="173" spans="2:2">
      <c r="B173" t="str">
        <f>IF(A173="","",COUNTIF(コマンド!B:B,プログラムリスト!A173))</f>
        <v/>
      </c>
    </row>
    <row r="174" spans="2:2">
      <c r="B174" t="str">
        <f>IF(A174="","",COUNTIF(コマンド!B:B,プログラムリスト!A174))</f>
        <v/>
      </c>
    </row>
    <row r="175" spans="2:2">
      <c r="B175" t="str">
        <f>IF(A175="","",COUNTIF(コマンド!B:B,プログラムリスト!A175))</f>
        <v/>
      </c>
    </row>
    <row r="176" spans="2:2">
      <c r="B176" t="str">
        <f>IF(A176="","",COUNTIF(コマンド!B:B,プログラムリスト!A176))</f>
        <v/>
      </c>
    </row>
    <row r="177" spans="2:2">
      <c r="B177" t="str">
        <f>IF(A177="","",COUNTIF(コマンド!B:B,プログラムリスト!A177))</f>
        <v/>
      </c>
    </row>
    <row r="178" spans="2:2">
      <c r="B178" t="str">
        <f>IF(A178="","",COUNTIF(コマンド!B:B,プログラムリスト!A178))</f>
        <v/>
      </c>
    </row>
    <row r="179" spans="2:2">
      <c r="B179" t="str">
        <f>IF(A179="","",COUNTIF(コマンド!B:B,プログラムリスト!A179))</f>
        <v/>
      </c>
    </row>
    <row r="180" spans="2:2">
      <c r="B180" t="str">
        <f>IF(A180="","",COUNTIF(コマンド!B:B,プログラムリスト!A180))</f>
        <v/>
      </c>
    </row>
    <row r="181" spans="2:2">
      <c r="B181" t="str">
        <f>IF(A181="","",COUNTIF(コマンド!B:B,プログラムリスト!A181))</f>
        <v/>
      </c>
    </row>
    <row r="182" spans="2:2">
      <c r="B182" t="str">
        <f>IF(A182="","",COUNTIF(コマンド!B:B,プログラムリスト!A182))</f>
        <v/>
      </c>
    </row>
    <row r="183" spans="2:2">
      <c r="B183" t="str">
        <f>IF(A183="","",COUNTIF(コマンド!B:B,プログラムリスト!A183))</f>
        <v/>
      </c>
    </row>
    <row r="184" spans="2:2">
      <c r="B184" t="str">
        <f>IF(A184="","",COUNTIF(コマンド!B:B,プログラムリスト!A184))</f>
        <v/>
      </c>
    </row>
    <row r="185" spans="2:2">
      <c r="B185" t="str">
        <f>IF(A185="","",COUNTIF(コマンド!B:B,プログラムリスト!A185))</f>
        <v/>
      </c>
    </row>
    <row r="186" spans="2:2">
      <c r="B186" t="str">
        <f>IF(A186="","",COUNTIF(コマンド!B:B,プログラムリスト!A186))</f>
        <v/>
      </c>
    </row>
    <row r="187" spans="2:2">
      <c r="B187" t="str">
        <f>IF(A187="","",COUNTIF(コマンド!B:B,プログラムリスト!A187))</f>
        <v/>
      </c>
    </row>
    <row r="188" spans="2:2">
      <c r="B188" t="str">
        <f>IF(A188="","",COUNTIF(コマンド!B:B,プログラムリスト!A188))</f>
        <v/>
      </c>
    </row>
    <row r="189" spans="2:2">
      <c r="B189" t="str">
        <f>IF(A189="","",COUNTIF(コマンド!B:B,プログラムリスト!A189))</f>
        <v/>
      </c>
    </row>
    <row r="190" spans="2:2">
      <c r="B190" t="str">
        <f>IF(A190="","",COUNTIF(コマンド!B:B,プログラムリスト!A190))</f>
        <v/>
      </c>
    </row>
    <row r="191" spans="2:2">
      <c r="B191" t="str">
        <f>IF(A191="","",COUNTIF(コマンド!B:B,プログラムリスト!A191))</f>
        <v/>
      </c>
    </row>
    <row r="192" spans="2:2">
      <c r="B192" t="str">
        <f>IF(A192="","",COUNTIF(コマンド!B:B,プログラムリスト!A192))</f>
        <v/>
      </c>
    </row>
    <row r="193" spans="2:2">
      <c r="B193" t="str">
        <f>IF(A193="","",COUNTIF(コマンド!B:B,プログラムリスト!A193))</f>
        <v/>
      </c>
    </row>
    <row r="194" spans="2:2">
      <c r="B194" t="str">
        <f>IF(A194="","",COUNTIF(コマンド!B:B,プログラムリスト!A194))</f>
        <v/>
      </c>
    </row>
    <row r="195" spans="2:2">
      <c r="B195" t="str">
        <f>IF(A195="","",COUNTIF(コマンド!B:B,プログラムリスト!A195))</f>
        <v/>
      </c>
    </row>
    <row r="196" spans="2:2">
      <c r="B196" t="str">
        <f>IF(A196="","",COUNTIF(コマンド!B:B,プログラムリスト!A196))</f>
        <v/>
      </c>
    </row>
    <row r="197" spans="2:2">
      <c r="B197" t="str">
        <f>IF(A197="","",COUNTIF(コマンド!B:B,プログラムリスト!A197))</f>
        <v/>
      </c>
    </row>
    <row r="198" spans="2:2">
      <c r="B198" t="str">
        <f>IF(A198="","",COUNTIF(コマンド!B:B,プログラムリスト!A198))</f>
        <v/>
      </c>
    </row>
    <row r="199" spans="2:2">
      <c r="B199" t="str">
        <f>IF(A199="","",COUNTIF(コマンド!B:B,プログラムリスト!A199))</f>
        <v/>
      </c>
    </row>
    <row r="200" spans="2:2">
      <c r="B200" t="str">
        <f>IF(A200="","",COUNTIF(コマンド!B:B,プログラムリスト!A200))</f>
        <v/>
      </c>
    </row>
  </sheetData>
  <autoFilter ref="A1:B200" xr:uid="{5BC89115-C14A-4CFE-B873-623277B986F1}"/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コマンド</vt:lpstr>
      <vt:lpstr>プログラムリスト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cp:lastPrinted>2021-02-17T12:49:23Z</cp:lastPrinted>
  <dcterms:created xsi:type="dcterms:W3CDTF">2021-01-16T02:31:13Z</dcterms:created>
  <dcterms:modified xsi:type="dcterms:W3CDTF">2022-05-08T01:16:40Z</dcterms:modified>
</cp:coreProperties>
</file>