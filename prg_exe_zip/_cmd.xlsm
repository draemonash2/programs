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451B2D80-ADA2-4981-A254-9749737C4ABB}" xr6:coauthVersionLast="47" xr6:coauthVersionMax="47" xr10:uidLastSave="{00000000-0000-0000-0000-000000000000}"/>
  <bookViews>
    <workbookView xWindow="2025" yWindow="-120" windowWidth="26895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プログラムリスト!$A$1:$B$201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1" i="2" l="1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K150" i="2"/>
  <c r="K149" i="2"/>
  <c r="J149" i="2"/>
  <c r="K148" i="2"/>
  <c r="K147" i="2"/>
  <c r="K146" i="2"/>
  <c r="K145" i="2"/>
  <c r="J145" i="2"/>
  <c r="K144" i="2"/>
  <c r="K143" i="2"/>
  <c r="J143" i="2"/>
  <c r="K142" i="2"/>
  <c r="J142" i="2"/>
  <c r="K141" i="2"/>
  <c r="J141" i="2"/>
  <c r="K140" i="2"/>
  <c r="K139" i="2"/>
  <c r="J139" i="2"/>
  <c r="K138" i="2"/>
  <c r="J138" i="2"/>
  <c r="K137" i="2"/>
  <c r="J137" i="2"/>
  <c r="K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F114" i="2"/>
  <c r="E114" i="2"/>
  <c r="D114" i="2"/>
  <c r="C114" i="2"/>
  <c r="F113" i="2"/>
  <c r="E113" i="2"/>
  <c r="D113" i="2"/>
  <c r="C113" i="2"/>
  <c r="C112" i="2"/>
  <c r="C111" i="2"/>
  <c r="C110" i="2"/>
  <c r="C109" i="2"/>
  <c r="C108" i="2"/>
  <c r="C107" i="2"/>
  <c r="C106" i="2"/>
  <c r="C105" i="2"/>
  <c r="D105" i="2" s="1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105" i="3"/>
  <c r="C104" i="2"/>
  <c r="D104" i="2" s="1"/>
  <c r="E102" i="2"/>
  <c r="E98" i="2"/>
  <c r="E96" i="2"/>
  <c r="K96" i="2" s="1"/>
  <c r="E95" i="2"/>
  <c r="K95" i="2" s="1"/>
  <c r="E91" i="2"/>
  <c r="E90" i="2"/>
  <c r="E89" i="2"/>
  <c r="K89" i="2" s="1"/>
  <c r="E87" i="2"/>
  <c r="K87" i="2" s="1"/>
  <c r="E86" i="2"/>
  <c r="E85" i="2"/>
  <c r="E83" i="2"/>
  <c r="K83" i="2" s="1"/>
  <c r="E81" i="2"/>
  <c r="K81" i="2" s="1"/>
  <c r="E80" i="2"/>
  <c r="E79" i="2"/>
  <c r="K79" i="2" s="1"/>
  <c r="E78" i="2"/>
  <c r="E77" i="2"/>
  <c r="E76" i="2"/>
  <c r="E75" i="2"/>
  <c r="E74" i="2"/>
  <c r="E72" i="2"/>
  <c r="E71" i="2"/>
  <c r="K71" i="2" s="1"/>
  <c r="E68" i="2"/>
  <c r="E67" i="2"/>
  <c r="K67" i="2" s="1"/>
  <c r="E66" i="2"/>
  <c r="E65" i="2"/>
  <c r="K65" i="2" s="1"/>
  <c r="E64" i="2"/>
  <c r="E63" i="2"/>
  <c r="K63" i="2" s="1"/>
  <c r="E62" i="2"/>
  <c r="E61" i="2"/>
  <c r="E60" i="2"/>
  <c r="E58" i="2"/>
  <c r="E57" i="2"/>
  <c r="K57" i="2" s="1"/>
  <c r="E56" i="2"/>
  <c r="E55" i="2"/>
  <c r="K55" i="2" s="1"/>
  <c r="E54" i="2"/>
  <c r="E52" i="2"/>
  <c r="K52" i="2" s="1"/>
  <c r="E51" i="2"/>
  <c r="E50" i="2"/>
  <c r="E49" i="2"/>
  <c r="K49" i="2" s="1"/>
  <c r="E48" i="2"/>
  <c r="K48" i="2" s="1"/>
  <c r="E47" i="2"/>
  <c r="K47" i="2" s="1"/>
  <c r="E45" i="2"/>
  <c r="E44" i="2"/>
  <c r="E42" i="2"/>
  <c r="E41" i="2"/>
  <c r="K41" i="2" s="1"/>
  <c r="E39" i="2"/>
  <c r="K39" i="2" s="1"/>
  <c r="E38" i="2"/>
  <c r="E37" i="2"/>
  <c r="E32" i="2"/>
  <c r="E31" i="2"/>
  <c r="K31" i="2" s="1"/>
  <c r="E30" i="2"/>
  <c r="E29" i="2"/>
  <c r="E27" i="2"/>
  <c r="K27" i="2" s="1"/>
  <c r="E26" i="2"/>
  <c r="E25" i="2"/>
  <c r="K25" i="2" s="1"/>
  <c r="E24" i="2"/>
  <c r="K24" i="2" s="1"/>
  <c r="E23" i="2"/>
  <c r="K23" i="2" s="1"/>
  <c r="E22" i="2"/>
  <c r="E21" i="2"/>
  <c r="E19" i="2"/>
  <c r="K19" i="2" s="1"/>
  <c r="E15" i="2"/>
  <c r="K15" i="2" s="1"/>
  <c r="E12" i="2"/>
  <c r="E11" i="2"/>
  <c r="K11" i="2" s="1"/>
  <c r="E10" i="2"/>
  <c r="K103" i="2"/>
  <c r="K102" i="2"/>
  <c r="K98" i="2"/>
  <c r="K91" i="2"/>
  <c r="K90" i="2"/>
  <c r="K86" i="2"/>
  <c r="K85" i="2"/>
  <c r="K80" i="2"/>
  <c r="K78" i="2"/>
  <c r="K77" i="2"/>
  <c r="K76" i="2"/>
  <c r="K75" i="2"/>
  <c r="K74" i="2"/>
  <c r="K72" i="2"/>
  <c r="K68" i="2"/>
  <c r="K66" i="2"/>
  <c r="K64" i="2"/>
  <c r="J63" i="2"/>
  <c r="K62" i="2"/>
  <c r="K61" i="2"/>
  <c r="K60" i="2"/>
  <c r="K58" i="2"/>
  <c r="K56" i="2"/>
  <c r="J55" i="2"/>
  <c r="K54" i="2"/>
  <c r="J54" i="2"/>
  <c r="K51" i="2"/>
  <c r="K50" i="2"/>
  <c r="J49" i="2"/>
  <c r="K45" i="2"/>
  <c r="K44" i="2"/>
  <c r="K42" i="2"/>
  <c r="J39" i="2"/>
  <c r="K38" i="2"/>
  <c r="K37" i="2"/>
  <c r="K32" i="2"/>
  <c r="K30" i="2"/>
  <c r="J30" i="2"/>
  <c r="K29" i="2"/>
  <c r="J27" i="2"/>
  <c r="K26" i="2"/>
  <c r="J26" i="2"/>
  <c r="K22" i="2"/>
  <c r="K21" i="2"/>
  <c r="J21" i="2"/>
  <c r="K12" i="2"/>
  <c r="K10" i="2"/>
  <c r="D150" i="2"/>
  <c r="J150" i="2" s="1"/>
  <c r="D149" i="2"/>
  <c r="D148" i="2"/>
  <c r="J148" i="2" s="1"/>
  <c r="D147" i="2"/>
  <c r="J147" i="2" s="1"/>
  <c r="D146" i="2"/>
  <c r="J146" i="2" s="1"/>
  <c r="D145" i="2"/>
  <c r="D144" i="2"/>
  <c r="J144" i="2" s="1"/>
  <c r="D143" i="2"/>
  <c r="D142" i="2"/>
  <c r="D141" i="2"/>
  <c r="D140" i="2"/>
  <c r="J140" i="2" s="1"/>
  <c r="D139" i="2"/>
  <c r="D138" i="2"/>
  <c r="D137" i="2"/>
  <c r="D136" i="2"/>
  <c r="J136" i="2" s="1"/>
  <c r="D135" i="2"/>
  <c r="D134" i="2"/>
  <c r="D133" i="2"/>
  <c r="D132" i="2"/>
  <c r="D131" i="2"/>
  <c r="D130" i="2"/>
  <c r="D129" i="2"/>
  <c r="D128" i="2"/>
  <c r="J128" i="2" s="1"/>
  <c r="D127" i="2"/>
  <c r="D126" i="2"/>
  <c r="D125" i="2"/>
  <c r="D124" i="2"/>
  <c r="D123" i="2"/>
  <c r="D122" i="2"/>
  <c r="D121" i="2"/>
  <c r="D120" i="2"/>
  <c r="J120" i="2" s="1"/>
  <c r="D119" i="2"/>
  <c r="D118" i="2"/>
  <c r="D117" i="2"/>
  <c r="D116" i="2"/>
  <c r="D115" i="2"/>
  <c r="D112" i="2"/>
  <c r="D111" i="2"/>
  <c r="D110" i="2"/>
  <c r="D109" i="2"/>
  <c r="D108" i="2"/>
  <c r="D107" i="2"/>
  <c r="D106" i="2"/>
  <c r="D102" i="2"/>
  <c r="J102" i="2" s="1"/>
  <c r="D101" i="2"/>
  <c r="J101" i="2" s="1"/>
  <c r="D100" i="2"/>
  <c r="J100" i="2" s="1"/>
  <c r="D98" i="2"/>
  <c r="J98" i="2" s="1"/>
  <c r="D96" i="2"/>
  <c r="J96" i="2" s="1"/>
  <c r="D95" i="2"/>
  <c r="J95" i="2" s="1"/>
  <c r="D94" i="2"/>
  <c r="J94" i="2" s="1"/>
  <c r="D92" i="2"/>
  <c r="J92" i="2" s="1"/>
  <c r="D91" i="2"/>
  <c r="J91" i="2" s="1"/>
  <c r="D90" i="2"/>
  <c r="J90" i="2" s="1"/>
  <c r="D89" i="2"/>
  <c r="J89" i="2" s="1"/>
  <c r="D87" i="2"/>
  <c r="J87" i="2" s="1"/>
  <c r="D86" i="2"/>
  <c r="J86" i="2" s="1"/>
  <c r="D85" i="2"/>
  <c r="J85" i="2" s="1"/>
  <c r="D84" i="2"/>
  <c r="J84" i="2" s="1"/>
  <c r="D83" i="2"/>
  <c r="J83" i="2" s="1"/>
  <c r="D81" i="2"/>
  <c r="J81" i="2" s="1"/>
  <c r="D80" i="2"/>
  <c r="J80" i="2" s="1"/>
  <c r="D78" i="2"/>
  <c r="J78" i="2" s="1"/>
  <c r="D77" i="2"/>
  <c r="J77" i="2" s="1"/>
  <c r="D76" i="2"/>
  <c r="J76" i="2" s="1"/>
  <c r="D75" i="2"/>
  <c r="J75" i="2" s="1"/>
  <c r="D74" i="2"/>
  <c r="J74" i="2" s="1"/>
  <c r="D72" i="2"/>
  <c r="J72" i="2" s="1"/>
  <c r="D71" i="2"/>
  <c r="J71" i="2" s="1"/>
  <c r="D70" i="2"/>
  <c r="J70" i="2" s="1"/>
  <c r="D68" i="2"/>
  <c r="J68" i="2" s="1"/>
  <c r="D67" i="2"/>
  <c r="J67" i="2" s="1"/>
  <c r="D66" i="2"/>
  <c r="J66" i="2" s="1"/>
  <c r="D65" i="2"/>
  <c r="J65" i="2" s="1"/>
  <c r="D64" i="2"/>
  <c r="J64" i="2" s="1"/>
  <c r="D63" i="2"/>
  <c r="D62" i="2"/>
  <c r="J62" i="2" s="1"/>
  <c r="D61" i="2"/>
  <c r="J61" i="2" s="1"/>
  <c r="D60" i="2"/>
  <c r="J60" i="2" s="1"/>
  <c r="D58" i="2"/>
  <c r="J58" i="2" s="1"/>
  <c r="D57" i="2"/>
  <c r="J57" i="2" s="1"/>
  <c r="D56" i="2"/>
  <c r="J56" i="2" s="1"/>
  <c r="D55" i="2"/>
  <c r="D54" i="2"/>
  <c r="D52" i="2"/>
  <c r="J52" i="2" s="1"/>
  <c r="D51" i="2"/>
  <c r="J51" i="2" s="1"/>
  <c r="D50" i="2"/>
  <c r="J50" i="2" s="1"/>
  <c r="D49" i="2"/>
  <c r="D48" i="2"/>
  <c r="J48" i="2" s="1"/>
  <c r="D47" i="2"/>
  <c r="J47" i="2" s="1"/>
  <c r="D46" i="2"/>
  <c r="J46" i="2" s="1"/>
  <c r="D45" i="2"/>
  <c r="J45" i="2" s="1"/>
  <c r="D44" i="2"/>
  <c r="J44" i="2" s="1"/>
  <c r="D42" i="2"/>
  <c r="J42" i="2" s="1"/>
  <c r="D41" i="2"/>
  <c r="J41" i="2" s="1"/>
  <c r="D40" i="2"/>
  <c r="J40" i="2" s="1"/>
  <c r="D39" i="2"/>
  <c r="D38" i="2"/>
  <c r="J38" i="2" s="1"/>
  <c r="D37" i="2"/>
  <c r="J37" i="2" s="1"/>
  <c r="D36" i="2"/>
  <c r="J36" i="2" s="1"/>
  <c r="D32" i="2"/>
  <c r="J32" i="2" s="1"/>
  <c r="D30" i="2"/>
  <c r="D29" i="2"/>
  <c r="J29" i="2" s="1"/>
  <c r="D28" i="2"/>
  <c r="J28" i="2" s="1"/>
  <c r="D27" i="2"/>
  <c r="D26" i="2"/>
  <c r="D25" i="2"/>
  <c r="J25" i="2" s="1"/>
  <c r="D24" i="2"/>
  <c r="J24" i="2" s="1"/>
  <c r="D23" i="2"/>
  <c r="J23" i="2" s="1"/>
  <c r="D22" i="2"/>
  <c r="J22" i="2" s="1"/>
  <c r="D21" i="2"/>
  <c r="D20" i="2"/>
  <c r="J20" i="2" s="1"/>
  <c r="D19" i="2"/>
  <c r="J19" i="2" s="1"/>
  <c r="D16" i="2"/>
  <c r="J16" i="2" s="1"/>
  <c r="D15" i="2"/>
  <c r="J15" i="2" s="1"/>
  <c r="D14" i="2"/>
  <c r="J14" i="2" s="1"/>
  <c r="D12" i="2"/>
  <c r="J12" i="2" s="1"/>
  <c r="D11" i="2"/>
  <c r="J11" i="2" s="1"/>
  <c r="D10" i="2"/>
  <c r="J10" i="2" s="1"/>
  <c r="C103" i="2"/>
  <c r="D103" i="2" s="1"/>
  <c r="J103" i="2" s="1"/>
  <c r="C102" i="2"/>
  <c r="C101" i="2"/>
  <c r="C100" i="2"/>
  <c r="E100" i="2" s="1"/>
  <c r="K100" i="2" s="1"/>
  <c r="C99" i="2"/>
  <c r="D99" i="2" s="1"/>
  <c r="J99" i="2" s="1"/>
  <c r="C98" i="2"/>
  <c r="C97" i="2"/>
  <c r="D97" i="2" s="1"/>
  <c r="J97" i="2" s="1"/>
  <c r="C96" i="2"/>
  <c r="C95" i="2"/>
  <c r="C94" i="2"/>
  <c r="E94" i="2" s="1"/>
  <c r="K94" i="2" s="1"/>
  <c r="C93" i="2"/>
  <c r="E93" i="2" s="1"/>
  <c r="K93" i="2" s="1"/>
  <c r="C92" i="2"/>
  <c r="E92" i="2" s="1"/>
  <c r="K92" i="2" s="1"/>
  <c r="C91" i="2"/>
  <c r="C90" i="2"/>
  <c r="C89" i="2"/>
  <c r="C88" i="2"/>
  <c r="D88" i="2" s="1"/>
  <c r="J88" i="2" s="1"/>
  <c r="C87" i="2"/>
  <c r="C86" i="2"/>
  <c r="C85" i="2"/>
  <c r="C84" i="2"/>
  <c r="E84" i="2" s="1"/>
  <c r="K84" i="2" s="1"/>
  <c r="C83" i="2"/>
  <c r="C82" i="2"/>
  <c r="D82" i="2" s="1"/>
  <c r="J82" i="2" s="1"/>
  <c r="C81" i="2"/>
  <c r="C80" i="2"/>
  <c r="C79" i="2"/>
  <c r="D79" i="2" s="1"/>
  <c r="J79" i="2" s="1"/>
  <c r="C78" i="2"/>
  <c r="C77" i="2"/>
  <c r="C76" i="2"/>
  <c r="C75" i="2"/>
  <c r="C74" i="2"/>
  <c r="C73" i="2"/>
  <c r="D73" i="2" s="1"/>
  <c r="J73" i="2" s="1"/>
  <c r="C72" i="2"/>
  <c r="C71" i="2"/>
  <c r="C70" i="2"/>
  <c r="E70" i="2" s="1"/>
  <c r="K70" i="2" s="1"/>
  <c r="C69" i="2"/>
  <c r="E69" i="2" s="1"/>
  <c r="K69" i="2" s="1"/>
  <c r="C68" i="2"/>
  <c r="C67" i="2"/>
  <c r="C66" i="2"/>
  <c r="C65" i="2"/>
  <c r="C64" i="2"/>
  <c r="C63" i="2"/>
  <c r="C62" i="2"/>
  <c r="C61" i="2"/>
  <c r="C60" i="2"/>
  <c r="C59" i="2"/>
  <c r="D59" i="2" s="1"/>
  <c r="J59" i="2" s="1"/>
  <c r="C58" i="2"/>
  <c r="C57" i="2"/>
  <c r="C56" i="2"/>
  <c r="C55" i="2"/>
  <c r="C54" i="2"/>
  <c r="C53" i="2"/>
  <c r="E53" i="2" s="1"/>
  <c r="K53" i="2" s="1"/>
  <c r="C51" i="2"/>
  <c r="C50" i="2"/>
  <c r="C49" i="2"/>
  <c r="C48" i="2"/>
  <c r="C46" i="2"/>
  <c r="E46" i="2" s="1"/>
  <c r="K46" i="2" s="1"/>
  <c r="C45" i="2"/>
  <c r="C44" i="2"/>
  <c r="C43" i="2"/>
  <c r="D43" i="2" s="1"/>
  <c r="J43" i="2" s="1"/>
  <c r="C42" i="2"/>
  <c r="C41" i="2"/>
  <c r="C40" i="2"/>
  <c r="E40" i="2" s="1"/>
  <c r="K40" i="2" s="1"/>
  <c r="C39" i="2"/>
  <c r="C38" i="2"/>
  <c r="C37" i="2"/>
  <c r="C36" i="2"/>
  <c r="E36" i="2" s="1"/>
  <c r="K36" i="2" s="1"/>
  <c r="C35" i="2"/>
  <c r="D35" i="2" s="1"/>
  <c r="J35" i="2" s="1"/>
  <c r="C34" i="2"/>
  <c r="D34" i="2" s="1"/>
  <c r="J34" i="2" s="1"/>
  <c r="C33" i="2"/>
  <c r="D33" i="2" s="1"/>
  <c r="J33" i="2" s="1"/>
  <c r="C32" i="2"/>
  <c r="C31" i="2"/>
  <c r="D31" i="2" s="1"/>
  <c r="J31" i="2" s="1"/>
  <c r="C30" i="2"/>
  <c r="C29" i="2"/>
  <c r="C28" i="2"/>
  <c r="E28" i="2" s="1"/>
  <c r="K28" i="2" s="1"/>
  <c r="C27" i="2"/>
  <c r="C26" i="2"/>
  <c r="C25" i="2"/>
  <c r="C24" i="2"/>
  <c r="C23" i="2"/>
  <c r="C22" i="2"/>
  <c r="C21" i="2"/>
  <c r="C20" i="2"/>
  <c r="E20" i="2" s="1"/>
  <c r="K20" i="2" s="1"/>
  <c r="C19" i="2"/>
  <c r="C18" i="2"/>
  <c r="D18" i="2" s="1"/>
  <c r="J18" i="2" s="1"/>
  <c r="C17" i="2"/>
  <c r="D17" i="2" s="1"/>
  <c r="J17" i="2" s="1"/>
  <c r="C16" i="2"/>
  <c r="E16" i="2" s="1"/>
  <c r="K16" i="2" s="1"/>
  <c r="C15" i="2"/>
  <c r="C14" i="2"/>
  <c r="E14" i="2" s="1"/>
  <c r="K14" i="2" s="1"/>
  <c r="C13" i="2"/>
  <c r="E13" i="2" s="1"/>
  <c r="K13" i="2" s="1"/>
  <c r="C12" i="2"/>
  <c r="C11" i="2"/>
  <c r="C10" i="2"/>
  <c r="C9" i="2"/>
  <c r="D9" i="2" s="1"/>
  <c r="J9" i="2" s="1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2" i="2"/>
  <c r="E111" i="2"/>
  <c r="E110" i="2"/>
  <c r="E109" i="2"/>
  <c r="E108" i="2"/>
  <c r="E107" i="2"/>
  <c r="E106" i="2"/>
  <c r="E105" i="2"/>
  <c r="E104" i="2"/>
  <c r="D13" i="2" l="1"/>
  <c r="J13" i="2" s="1"/>
  <c r="D53" i="2"/>
  <c r="J53" i="2" s="1"/>
  <c r="D69" i="2"/>
  <c r="J69" i="2" s="1"/>
  <c r="D93" i="2"/>
  <c r="J93" i="2" s="1"/>
  <c r="E88" i="2"/>
  <c r="K88" i="2" s="1"/>
  <c r="E9" i="2"/>
  <c r="K9" i="2" s="1"/>
  <c r="E17" i="2"/>
  <c r="K17" i="2" s="1"/>
  <c r="E33" i="2"/>
  <c r="K33" i="2" s="1"/>
  <c r="E73" i="2"/>
  <c r="K73" i="2" s="1"/>
  <c r="E97" i="2"/>
  <c r="K97" i="2" s="1"/>
  <c r="E18" i="2"/>
  <c r="K18" i="2" s="1"/>
  <c r="E34" i="2"/>
  <c r="K34" i="2" s="1"/>
  <c r="E82" i="2"/>
  <c r="K82" i="2" s="1"/>
  <c r="E35" i="2"/>
  <c r="K35" i="2" s="1"/>
  <c r="E43" i="2"/>
  <c r="K43" i="2" s="1"/>
  <c r="E59" i="2"/>
  <c r="K59" i="2" s="1"/>
  <c r="E99" i="2"/>
  <c r="K99" i="2" s="1"/>
  <c r="C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<sst xmlns="http://schemas.openxmlformats.org/spreadsheetml/2006/main" count="626" uniqueCount="204">
  <si>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</si>
  <si>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</si>
  <si>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</si>
  <si>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</si>
  <si>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</si>
  <si>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</si>
  <si>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</si>
  <si>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</si>
  <si>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</si>
  <si>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</si>
  <si>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</si>
  <si>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</si>
  <si>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</si>
  <si>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</si>
  <si>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</si>
  <si>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</si>
  <si>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</si>
  <si>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</si>
  <si>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</si>
  <si>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</si>
  <si>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</si>
  <si>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</si>
  <si>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</si>
  <si>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</si>
  <si>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</si>
  <si>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</si>
  <si>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</si>
  <si>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</si>
  <si>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</si>
  <si>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</si>
  <si>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</si>
  <si>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</si>
  <si>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</si>
  <si>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</si>
  <si>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</si>
  <si>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</si>
  <si>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</si>
  <si>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</si>
  <si>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</si>
  <si>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</si>
  <si>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</si>
  <si>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</si>
  <si>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</si>
  <si>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</si>
  <si>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</si>
  <si>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</si>
  <si>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</si>
  <si>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</si>
  <si>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</si>
  <si>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</si>
  <si>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</si>
  <si>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</si>
  <si>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</si>
  <si>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</si>
  <si>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</si>
  <si>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</si>
  <si>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</si>
  <si>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</si>
  <si>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</si>
  <si>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</si>
  <si>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</si>
  <si>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</si>
  <si>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</si>
  <si>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</si>
  <si>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</si>
  <si>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</si>
  <si>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</si>
  <si>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</si>
  <si>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</si>
  <si>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</si>
  <si>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</si>
  <si>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</si>
  <si>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</si>
  <si>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</si>
  <si>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</si>
  <si>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</si>
  <si>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</si>
  <si>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</si>
  <si>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</si>
  <si>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</si>
  <si>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</si>
  <si>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</si>
  <si>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</si>
  <si>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</si>
  <si>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</si>
  <si>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</si>
  <si>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</si>
  <si>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</si>
  <si>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</si>
  <si>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</si>
  <si>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</si>
  <si>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</si>
  <si>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</si>
  <si>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</si>
  <si>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</si>
  <si>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</si>
  <si>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</si>
  <si>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</si>
  <si>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</si>
  <si>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</si>
  <si>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</si>
  <si>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</si>
  <si>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</si>
  <si>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</si>
  <si>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</si>
  <si>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</si>
  <si>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</si>
  <si>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</si>
  <si>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</si>
  <si>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VSCode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</si>
  <si>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</si>
  <si>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</si>
  <si>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</si>
  <si>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</si>
  <si>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</si>
  <si>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</si>
  <si>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</si>
  <si>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</si>
  <si>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</si>
  <si>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</si>
  <si>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</si>
  <si>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</si>
  <si>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</si>
  <si>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</si>
  <si>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</si>
  <si>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</si>
  <si>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</si>
  <si>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</si>
  <si>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</si>
  <si>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</si>
  <si>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</si>
  <si>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</si>
  <si>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</si>
  <si>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</si>
  <si>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</si>
  <si>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</si>
  <si>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</si>
  <si>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</si>
  <si>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</si>
  <si>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</si>
  <si>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</si>
  <si>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</si>
  <si>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</si>
  <si>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</si>
  <si>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</si>
  <si>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</si>
  <si>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</si>
  <si>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</si>
  <si>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</si>
  <si>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</si>
  <si>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</si>
  <si>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</si>
  <si>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</si>
  <si>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</si>
  <si>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</si>
  <si>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</si>
  <si>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</si>
  <si>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</si>
  <si>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</si>
  <si>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</si>
  <si>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</si>
  <si>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</si>
  <si>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</si>
  <si>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</si>
  <si>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</si>
  <si>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</si>
  <si>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</si>
  <si>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</si>
  <si>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</si>
  <si>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</si>
  <si>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</si>
  <si>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</si>
  <si>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</si>
  <si>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</si>
  <si>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</si>
  <si>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</si>
  <si>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</si>
  <si>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</si>
  <si>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</si>
  <si>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</si>
  <si>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</si>
  <si>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</si>
  <si>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</si>
  <si>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</si>
  <si>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</si>
  <si>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</si>
  <si>
    <t>dimmer</t>
  </si>
  <si>
    <t>AutoHotkey2</t>
  </si>
  <si>
    <t>DupFileEliminator</t>
  </si>
  <si>
    <t>HotkeyScreener</t>
  </si>
  <si>
    <t>iThoughts.bak221217</t>
  </si>
  <si>
    <t>iThoughts_v6.3</t>
  </si>
  <si>
    <t>JpegCleaner</t>
  </si>
  <si>
    <t>KickassUndelete</t>
  </si>
  <si>
    <t>PuranFileRecoveryX64</t>
  </si>
  <si>
    <t>SoftPerfectFileRecovery</t>
  </si>
  <si>
    <t>UnDup</t>
  </si>
  <si>
    <t>VSCode.bak221211</t>
  </si>
  <si>
    <t>VSCode.bak230122</t>
  </si>
  <si>
    <t>CDManipulator</t>
  </si>
  <si>
    <t>IconExplorer</t>
  </si>
  <si>
    <t>AddToSystemPathes.bat.lnk</t>
  </si>
  <si>
    <t>●</t>
  </si>
  <si>
    <t>start https://github.com/draemonash2/programs/raw/master/prg_exe_zip/VSCode.zip.001
start https://github.com/draemonash2/programs/raw/master/prg_exe_zip/VSCode.zip.002
start https://github.com/draemonash2/programs/raw/master/prg_exe_zip/VSCode.zip.003
start https://github.com/draemonash2/programs/raw/master/prg_exe_zip/VSCode.zip.004
start https://github.com/draemonash2/programs/raw/master/prg_exe_zip/VSCode.zip.005
start https://github.com/draemonash2/programs/raw/master/prg_exe_zip/VSCode.zip.006
start https://github.com/draemonash2/programs/raw/master/prg_exe_zip/VSCode.zip.007
start https://github.com/draemonash2/programs/raw/master/prg_exe_zip/VSCode.zip.008
start https://github.com/draemonash2/programs/raw/master/prg_exe_zip/VSCode.zip.009
start https://github.com/draemonash2/programs/raw/master/prg_exe_zip/VSCode.zip.010
start https://github.com/draemonash2/programs/raw/master/prg_exe_zip/VSCode.zip.011
start https://github.com/draemonash2/programs/raw/master/prg_exe_zip/VSCode.zip.012
start https://github.com/draemonash2/programs/raw/master/prg_exe_zip/VSCode.zip.013
start https://github.com/draemonash2/programs/raw/master/prg_exe_zip/VSCode.zip.014
start https://github.com/draemonash2/programs/raw/master/prg_exe_zip/VSCode.zip.015
start https://github.com/draemonash2/programs/raw/master/prg_exe_zip/VSCode.zip.016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</si>
</sst>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185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116</v>
      </c>
      <c r="I9" s="1" t="s">
        <v>117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118</v>
      </c>
      <c r="I10" s="1" t="s">
        <v>118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118</v>
      </c>
      <c r="I11" s="1" t="s">
        <v>118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118</v>
      </c>
      <c r="I12" s="1" t="s">
        <v>118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119</v>
      </c>
      <c r="I13" s="1" t="s">
        <v>120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121</v>
      </c>
      <c r="I14" s="1" t="s">
        <v>122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118</v>
      </c>
      <c r="I15" s="1" t="s">
        <v>118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123</v>
      </c>
      <c r="I16" s="1" t="s">
        <v>124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125</v>
      </c>
      <c r="I17" s="1" t="s">
        <v>126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127</v>
      </c>
      <c r="I18" s="1" t="s">
        <v>128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118</v>
      </c>
      <c r="I19" s="1" t="s">
        <v>118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129</v>
      </c>
      <c r="I20" s="1" t="s">
        <v>130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118</v>
      </c>
      <c r="I21" s="1" t="s">
        <v>118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118</v>
      </c>
      <c r="I22" s="1" t="s">
        <v>118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118</v>
      </c>
      <c r="I23" s="1" t="s">
        <v>118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118</v>
      </c>
      <c r="I24" s="1" t="s">
        <v>118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118</v>
      </c>
      <c r="I25" s="1" t="s">
        <v>118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118</v>
      </c>
      <c r="I26" s="1" t="s">
        <v>118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118</v>
      </c>
      <c r="I27" s="1" t="s">
        <v>118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131</v>
      </c>
      <c r="I28" s="1" t="s">
        <v>132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118</v>
      </c>
      <c r="I29" s="1" t="s">
        <v>118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118</v>
      </c>
      <c r="I30" s="1" t="s">
        <v>118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133</v>
      </c>
      <c r="I31" s="1" t="s">
        <v>134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118</v>
      </c>
      <c r="I32" s="1" t="s">
        <v>118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135</v>
      </c>
      <c r="I33" s="1" t="s">
        <v>136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137</v>
      </c>
      <c r="I34" s="1" t="s">
        <v>138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139</v>
      </c>
      <c r="I35" s="1" t="s">
        <v>140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141</v>
      </c>
      <c r="I36" s="1" t="s">
        <v>142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118</v>
      </c>
      <c r="I37" s="1" t="s">
        <v>118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118</v>
      </c>
      <c r="I38" s="1" t="s">
        <v>118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118</v>
      </c>
      <c r="I39" s="1" t="s">
        <v>118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143</v>
      </c>
      <c r="I40" s="1" t="s">
        <v>144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118</v>
      </c>
      <c r="I41" s="1" t="s">
        <v>118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118</v>
      </c>
      <c r="I42" s="1" t="s">
        <v>118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145</v>
      </c>
      <c r="I43" s="1" t="s">
        <v>146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118</v>
      </c>
      <c r="I44" s="1" t="s">
        <v>118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118</v>
      </c>
      <c r="I45" s="1" t="s">
        <v>118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147</v>
      </c>
      <c r="I46" s="1" t="s">
        <v>148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114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149</v>
      </c>
      <c r="I47" s="1" t="s">
        <v>150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118</v>
      </c>
      <c r="I48" s="1" t="s">
        <v>118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118</v>
      </c>
      <c r="I49" s="1" t="s">
        <v>118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118</v>
      </c>
      <c r="I50" s="1" t="s">
        <v>118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118</v>
      </c>
      <c r="I51" s="1" t="s">
        <v>118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115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151</v>
      </c>
      <c r="I52" s="1" t="s">
        <v>152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153</v>
      </c>
      <c r="I53" s="1" t="s">
        <v>154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118</v>
      </c>
      <c r="I54" s="1" t="s">
        <v>118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118</v>
      </c>
      <c r="I55" s="1" t="s">
        <v>118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118</v>
      </c>
      <c r="I56" s="1" t="s">
        <v>118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118</v>
      </c>
      <c r="I57" s="1" t="s">
        <v>118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118</v>
      </c>
      <c r="I58" s="1" t="s">
        <v>118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155</v>
      </c>
      <c r="I59" s="1" t="s">
        <v>156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118</v>
      </c>
      <c r="I60" s="1" t="s">
        <v>118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118</v>
      </c>
      <c r="I61" s="1" t="s">
        <v>118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118</v>
      </c>
      <c r="I62" s="1" t="s">
        <v>118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118</v>
      </c>
      <c r="I63" s="1" t="s">
        <v>118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118</v>
      </c>
      <c r="I64" s="1" t="s">
        <v>118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118</v>
      </c>
      <c r="I65" s="1" t="s">
        <v>118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118</v>
      </c>
      <c r="I66" s="1" t="s">
        <v>118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118</v>
      </c>
      <c r="I67" s="1" t="s">
        <v>118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118</v>
      </c>
      <c r="I68" s="1" t="s">
        <v>118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157</v>
      </c>
      <c r="I69" s="1" t="s">
        <v>158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159</v>
      </c>
      <c r="I70" s="1" t="s">
        <v>160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118</v>
      </c>
      <c r="I71" s="1" t="s">
        <v>118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118</v>
      </c>
      <c r="I72" s="1" t="s">
        <v>118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161</v>
      </c>
      <c r="I73" s="1" t="s">
        <v>162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12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118</v>
      </c>
      <c r="I74" s="1" t="s">
        <v>118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118</v>
      </c>
      <c r="I75" s="1" t="s">
        <v>118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118</v>
      </c>
      <c r="I76" s="1" t="s">
        <v>118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118</v>
      </c>
      <c r="I77" s="1" t="s">
        <v>118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118</v>
      </c>
      <c r="I78" s="1" t="s">
        <v>118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163</v>
      </c>
      <c r="I79" s="1" t="s">
        <v>164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118</v>
      </c>
      <c r="I80" s="1" t="s">
        <v>118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118</v>
      </c>
      <c r="I81" s="1" t="s">
        <v>118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165</v>
      </c>
      <c r="I82" s="1" t="s">
        <v>166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118</v>
      </c>
      <c r="I83" s="1" t="s">
        <v>118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167</v>
      </c>
      <c r="I84" s="1" t="s">
        <v>168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118</v>
      </c>
      <c r="I85" s="1" t="s">
        <v>118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118</v>
      </c>
      <c r="I86" s="1" t="s">
        <v>118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118</v>
      </c>
      <c r="I87" s="1" t="s">
        <v>118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169</v>
      </c>
      <c r="I88" s="1" t="s">
        <v>170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118</v>
      </c>
      <c r="I89" s="1" t="s">
        <v>118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118</v>
      </c>
      <c r="I90" s="1" t="s">
        <v>118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118</v>
      </c>
      <c r="I91" s="1" t="s">
        <v>118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171</v>
      </c>
      <c r="I92" s="1" t="s">
        <v>172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173</v>
      </c>
      <c r="I93" s="1" t="s">
        <v>174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175</v>
      </c>
      <c r="I94" s="1" t="s">
        <v>176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118</v>
      </c>
      <c r="I95" s="1" t="s">
        <v>118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118</v>
      </c>
      <c r="I96" s="1" t="s">
        <v>118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177</v>
      </c>
      <c r="I97" s="1" t="s">
        <v>178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118</v>
      </c>
      <c r="I98" s="1" t="s">
        <v>118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179</v>
      </c>
      <c r="I99" s="1" t="s">
        <v>180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181</v>
      </c>
      <c r="I100" s="1" t="s">
        <v>182</v>
      </c>
      <c r="J100" s="1" t="b">
        <f t="shared" si="8"/>
        <v>1</v>
      </c>
      <c r="K100" s="1" t="b">
        <f t="shared" si="9"/>
        <v>1</v>
      </c>
    </row>
    <row r="101" spans="1:11" ht="180">
      <c r="A101" s="5" t="s">
        <v>202</v>
      </c>
      <c r="B101" s="12" t="s">
        <v>109</v>
      </c>
      <c r="C101" s="13" t="str">
        <f t="shared" si="5"/>
        <v>VSCode</v>
      </c>
      <c r="D101" s="2" t="str">
        <f t="shared" si="6"/>
        <v>"C:\prg_exe\7-ZipPortable\App\7-Zip64\7z.exe" a -v50m "C:\programs\prg_exe_zip\VSCode.zip" "C:\prg_exe\VSCode"</v>
      </c>
      <c r="E101" s="7" t="s">
        <v>203</v>
      </c>
      <c r="F101" s="1">
        <f>IF(B101="","",COUNTIF(プログラムリスト!A:A,コマンド!B101))</f>
        <v>1</v>
      </c>
      <c r="H101" s="1" t="s">
        <v>118</v>
      </c>
      <c r="I101" s="1" t="s">
        <v>118</v>
      </c>
      <c r="J101" s="1" t="b">
        <f t="shared" si="8"/>
        <v>0</v>
      </c>
      <c r="K101" s="1" t="b">
        <f t="shared" si="9"/>
        <v>0</v>
      </c>
    </row>
    <row r="102" spans="1:11">
      <c r="A102" s="5" t="s">
        <v>100</v>
      </c>
      <c r="B102" s="12" t="s">
        <v>111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118</v>
      </c>
      <c r="I102" s="1" t="s">
        <v>118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112</v>
      </c>
      <c r="B103" s="12" t="s">
        <v>110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113</v>
      </c>
      <c r="F103" s="1">
        <f>IF(B103="","",COUNTIF(プログラムリスト!A:A,コマンド!B103))</f>
        <v>1</v>
      </c>
      <c r="H103" s="1" t="s">
        <v>183</v>
      </c>
      <c r="I103" s="1" t="s">
        <v>184</v>
      </c>
      <c r="J103" s="1" t="b">
        <f t="shared" si="8"/>
        <v>1</v>
      </c>
      <c r="K103" s="1" t="b">
        <f t="shared" si="9"/>
        <v>1</v>
      </c>
    </row>
    <row r="104" spans="1:11">
      <c r="A104" s="5" t="s">
        <v>99</v>
      </c>
      <c r="B104" s="12" t="s">
        <v>186</v>
      </c>
      <c r="C104" s="13" t="str">
        <f t="shared" si="5"/>
        <v>dimmer</v>
      </c>
      <c r="D104" s="2" t="str">
        <f t="shared" si="6"/>
        <v>"C:\prg_exe\7-ZipPortable\App\7-Zip64\7z.exe" a "C:\programs\prg_exe_zip\dimmer.zip" "C:\prg_exe\dimmer"</v>
      </c>
      <c r="E104" s="2" t="str">
        <f t="shared" ref="E104:E137" si="10">IF($A104&lt;&gt;"○","","start "&amp;$D$5&amp;"/"&amp;$B104&amp;".zip")</f>
        <v>start https://github.com/draemonash2/programs/raw/master/prg_exe_zip/dimmer.zip</v>
      </c>
      <c r="F104" s="1">
        <f>IF(B104="","",COUNTIF(プログラムリスト!A:A,コマンド!B104))</f>
        <v>1</v>
      </c>
      <c r="H104" s="1" t="s">
        <v>183</v>
      </c>
      <c r="I104" s="1" t="s">
        <v>184</v>
      </c>
      <c r="J104" s="1" t="b">
        <f t="shared" ref="J104:J150" si="11">D104=H104</f>
        <v>0</v>
      </c>
      <c r="K104" s="1" t="b">
        <f t="shared" ref="K104:K150" si="12">E104=I104</f>
        <v>0</v>
      </c>
    </row>
    <row r="105" spans="1:11">
      <c r="A105" s="5" t="s">
        <v>99</v>
      </c>
      <c r="B105" s="12" t="s">
        <v>187</v>
      </c>
      <c r="C105" s="13" t="str">
        <f t="shared" si="5"/>
        <v>AutoHotkey2</v>
      </c>
      <c r="D105" s="2" t="str">
        <f t="shared" si="6"/>
        <v>"C:\prg_exe\7-ZipPortable\App\7-Zip64\7z.exe" a "C:\programs\prg_exe_zip\AutoHotkey2.zip" "C:\prg_exe\AutoHotkey2"</v>
      </c>
      <c r="E105" s="2" t="str">
        <f t="shared" si="10"/>
        <v>start https://github.com/draemonash2/programs/raw/master/prg_exe_zip/AutoHotkey2.zip</v>
      </c>
      <c r="F105" s="1">
        <f>IF(B105="","",COUNTIF(プログラムリスト!A:A,コマンド!B105))</f>
        <v>1</v>
      </c>
      <c r="H105" s="1" t="s">
        <v>183</v>
      </c>
      <c r="I105" s="1" t="s">
        <v>184</v>
      </c>
      <c r="J105" s="1" t="b">
        <f t="shared" si="11"/>
        <v>0</v>
      </c>
      <c r="K105" s="1" t="b">
        <f t="shared" si="12"/>
        <v>0</v>
      </c>
    </row>
    <row r="106" spans="1:11">
      <c r="A106" s="5" t="s">
        <v>100</v>
      </c>
      <c r="B106" s="12" t="s">
        <v>188</v>
      </c>
      <c r="C106" s="13" t="str">
        <f t="shared" si="5"/>
        <v>DupFileEliminator</v>
      </c>
      <c r="D106" s="2" t="str">
        <f t="shared" si="6"/>
        <v/>
      </c>
      <c r="E106" s="2" t="str">
        <f t="shared" si="10"/>
        <v/>
      </c>
      <c r="F106" s="1">
        <f>IF(B106="","",COUNTIF(プログラムリスト!A:A,コマンド!B106))</f>
        <v>1</v>
      </c>
      <c r="H106" s="1" t="s">
        <v>183</v>
      </c>
      <c r="I106" s="1" t="s">
        <v>184</v>
      </c>
      <c r="J106" s="1" t="b">
        <f t="shared" si="11"/>
        <v>0</v>
      </c>
      <c r="K106" s="1" t="b">
        <f t="shared" si="12"/>
        <v>0</v>
      </c>
    </row>
    <row r="107" spans="1:11">
      <c r="A107" s="5" t="s">
        <v>100</v>
      </c>
      <c r="B107" s="12" t="s">
        <v>189</v>
      </c>
      <c r="C107" s="13" t="str">
        <f t="shared" si="5"/>
        <v>HotkeyScreener</v>
      </c>
      <c r="D107" s="2" t="str">
        <f t="shared" si="6"/>
        <v/>
      </c>
      <c r="E107" s="2" t="str">
        <f t="shared" si="10"/>
        <v/>
      </c>
      <c r="F107" s="1">
        <f>IF(B107="","",COUNTIF(プログラムリスト!A:A,コマンド!B107))</f>
        <v>1</v>
      </c>
      <c r="H107" s="1" t="s">
        <v>183</v>
      </c>
      <c r="I107" s="1" t="s">
        <v>184</v>
      </c>
      <c r="J107" s="1" t="b">
        <f t="shared" si="11"/>
        <v>0</v>
      </c>
      <c r="K107" s="1" t="b">
        <f t="shared" si="12"/>
        <v>0</v>
      </c>
    </row>
    <row r="108" spans="1:11">
      <c r="A108" s="5" t="s">
        <v>100</v>
      </c>
      <c r="B108" s="12" t="s">
        <v>192</v>
      </c>
      <c r="C108" s="13" t="str">
        <f t="shared" si="5"/>
        <v>JpegCleaner</v>
      </c>
      <c r="D108" s="2" t="str">
        <f t="shared" ref="D108:D116" si="13">IF(OR($A108="×",$A108=""),"",""""&amp;$D$3&amp;""" a"&amp;IF($A108="●"," -v50m","")&amp;" """&amp;$D$4&amp;"\"&amp;$C108&amp;".zip"" """&amp;$D$2&amp;"\"&amp;$B108&amp;"""")</f>
        <v/>
      </c>
      <c r="E108" s="2" t="str">
        <f t="shared" ref="E108:E116" si="14">IF($A108&lt;&gt;"○","","start "&amp;$D$5&amp;"/"&amp;$B108&amp;".zip")</f>
        <v/>
      </c>
      <c r="F108" s="1">
        <f>IF(B108="","",COUNTIF(プログラムリスト!A:A,コマンド!B108))</f>
        <v>1</v>
      </c>
      <c r="H108" s="1" t="s">
        <v>183</v>
      </c>
      <c r="I108" s="1" t="s">
        <v>184</v>
      </c>
      <c r="J108" s="1" t="b">
        <f t="shared" si="11"/>
        <v>0</v>
      </c>
      <c r="K108" s="1" t="b">
        <f t="shared" si="12"/>
        <v>0</v>
      </c>
    </row>
    <row r="109" spans="1:11">
      <c r="A109" s="5" t="s">
        <v>100</v>
      </c>
      <c r="B109" s="12" t="s">
        <v>193</v>
      </c>
      <c r="C109" s="13" t="str">
        <f t="shared" si="5"/>
        <v>KickassUndelete</v>
      </c>
      <c r="D109" s="2" t="str">
        <f t="shared" si="13"/>
        <v/>
      </c>
      <c r="E109" s="2" t="str">
        <f t="shared" si="14"/>
        <v/>
      </c>
      <c r="F109" s="1">
        <f>IF(B109="","",COUNTIF(プログラムリスト!A:A,コマンド!B109))</f>
        <v>1</v>
      </c>
      <c r="H109" s="1" t="s">
        <v>183</v>
      </c>
      <c r="I109" s="1" t="s">
        <v>184</v>
      </c>
      <c r="J109" s="1" t="b">
        <f t="shared" si="11"/>
        <v>0</v>
      </c>
      <c r="K109" s="1" t="b">
        <f t="shared" si="12"/>
        <v>0</v>
      </c>
    </row>
    <row r="110" spans="1:11">
      <c r="A110" s="5" t="s">
        <v>100</v>
      </c>
      <c r="B110" s="12" t="s">
        <v>194</v>
      </c>
      <c r="C110" s="13" t="str">
        <f t="shared" si="5"/>
        <v>PuranFileRecoveryX64</v>
      </c>
      <c r="D110" s="2" t="str">
        <f t="shared" si="13"/>
        <v/>
      </c>
      <c r="E110" s="2" t="str">
        <f t="shared" si="14"/>
        <v/>
      </c>
      <c r="F110" s="1">
        <f>IF(B110="","",COUNTIF(プログラムリスト!A:A,コマンド!B110))</f>
        <v>1</v>
      </c>
      <c r="H110" s="1" t="s">
        <v>183</v>
      </c>
      <c r="I110" s="1" t="s">
        <v>184</v>
      </c>
      <c r="J110" s="1" t="b">
        <f t="shared" si="11"/>
        <v>0</v>
      </c>
      <c r="K110" s="1" t="b">
        <f t="shared" si="12"/>
        <v>0</v>
      </c>
    </row>
    <row r="111" spans="1:11">
      <c r="A111" s="5" t="s">
        <v>100</v>
      </c>
      <c r="B111" s="12" t="s">
        <v>195</v>
      </c>
      <c r="C111" s="13" t="str">
        <f t="shared" si="5"/>
        <v>SoftPerfectFileRecovery</v>
      </c>
      <c r="D111" s="2" t="str">
        <f t="shared" si="13"/>
        <v/>
      </c>
      <c r="E111" s="2" t="str">
        <f t="shared" si="14"/>
        <v/>
      </c>
      <c r="F111" s="1">
        <f>IF(B111="","",COUNTIF(プログラムリスト!A:A,コマンド!B111))</f>
        <v>1</v>
      </c>
      <c r="H111" s="1" t="s">
        <v>183</v>
      </c>
      <c r="I111" s="1" t="s">
        <v>184</v>
      </c>
      <c r="J111" s="1" t="b">
        <f t="shared" si="11"/>
        <v>0</v>
      </c>
      <c r="K111" s="1" t="b">
        <f t="shared" si="12"/>
        <v>0</v>
      </c>
    </row>
    <row r="112" spans="1:11">
      <c r="A112" s="5" t="s">
        <v>100</v>
      </c>
      <c r="B112" s="12" t="s">
        <v>196</v>
      </c>
      <c r="C112" s="13" t="str">
        <f t="shared" si="5"/>
        <v>UnDup</v>
      </c>
      <c r="D112" s="2" t="str">
        <f t="shared" si="13"/>
        <v/>
      </c>
      <c r="E112" s="2" t="str">
        <f t="shared" si="14"/>
        <v/>
      </c>
      <c r="F112" s="1">
        <f>IF(B112="","",COUNTIF(プログラムリスト!A:A,コマンド!B112))</f>
        <v>1</v>
      </c>
      <c r="H112" s="1" t="s">
        <v>183</v>
      </c>
      <c r="I112" s="1" t="s">
        <v>184</v>
      </c>
      <c r="J112" s="1" t="b">
        <f t="shared" si="11"/>
        <v>0</v>
      </c>
      <c r="K112" s="1" t="b">
        <f t="shared" si="12"/>
        <v>0</v>
      </c>
    </row>
    <row r="113" spans="1:11">
      <c r="A113" s="5" t="s">
        <v>100</v>
      </c>
      <c r="B113" s="12" t="s">
        <v>199</v>
      </c>
      <c r="C113" s="13" t="str">
        <f t="shared" ref="C113:C150" si="15">B113</f>
        <v>CDManipulator</v>
      </c>
      <c r="D113" s="2" t="str">
        <f t="shared" si="13"/>
        <v/>
      </c>
      <c r="E113" s="2" t="str">
        <f t="shared" si="14"/>
        <v/>
      </c>
      <c r="F113" s="1">
        <f>IF(B113="","",COUNTIF(プログラムリスト!A:A,コマンド!B113))</f>
        <v>1</v>
      </c>
      <c r="H113" s="1" t="s">
        <v>183</v>
      </c>
      <c r="I113" s="1" t="s">
        <v>184</v>
      </c>
      <c r="J113" s="1" t="b">
        <f t="shared" si="11"/>
        <v>0</v>
      </c>
      <c r="K113" s="1" t="b">
        <f t="shared" si="12"/>
        <v>0</v>
      </c>
    </row>
    <row r="114" spans="1:11">
      <c r="A114" s="5" t="s">
        <v>100</v>
      </c>
      <c r="B114" s="12" t="s">
        <v>200</v>
      </c>
      <c r="C114" s="13" t="str">
        <f t="shared" si="15"/>
        <v>IconExplorer</v>
      </c>
      <c r="D114" s="2" t="str">
        <f t="shared" si="13"/>
        <v/>
      </c>
      <c r="E114" s="2" t="str">
        <f t="shared" si="14"/>
        <v/>
      </c>
      <c r="F114" s="1">
        <f>IF(B114="","",COUNTIF(プログラムリスト!A:A,コマンド!B114))</f>
        <v>1</v>
      </c>
      <c r="H114" s="1" t="s">
        <v>183</v>
      </c>
      <c r="I114" s="1" t="s">
        <v>184</v>
      </c>
      <c r="J114" s="1" t="b">
        <f t="shared" si="11"/>
        <v>0</v>
      </c>
      <c r="K114" s="1" t="b">
        <f t="shared" si="12"/>
        <v>0</v>
      </c>
    </row>
    <row r="115" spans="1:11">
      <c r="A115" s="5"/>
      <c r="B115" s="12"/>
      <c r="C115" s="13">
        <f t="shared" si="15"/>
        <v>0</v>
      </c>
      <c r="D115" s="2" t="str">
        <f t="shared" si="13"/>
        <v/>
      </c>
      <c r="E115" s="2" t="str">
        <f t="shared" si="14"/>
        <v/>
      </c>
      <c r="F115" s="1" t="str">
        <f>IF(B115="","",COUNTIF(プログラムリスト!A:A,コマンド!B115))</f>
        <v/>
      </c>
      <c r="H115" s="1" t="s">
        <v>183</v>
      </c>
      <c r="I115" s="1" t="s">
        <v>184</v>
      </c>
      <c r="J115" s="1" t="b">
        <f t="shared" si="11"/>
        <v>0</v>
      </c>
      <c r="K115" s="1" t="b">
        <f t="shared" si="12"/>
        <v>0</v>
      </c>
    </row>
    <row r="116" spans="1:11">
      <c r="A116" s="5"/>
      <c r="B116" s="12"/>
      <c r="C116" s="13">
        <f t="shared" si="15"/>
        <v>0</v>
      </c>
      <c r="D116" s="2" t="str">
        <f t="shared" si="13"/>
        <v/>
      </c>
      <c r="E116" s="2" t="str">
        <f t="shared" si="14"/>
        <v/>
      </c>
      <c r="F116" s="1" t="str">
        <f>IF(B116="","",COUNTIF(プログラムリスト!A:A,コマンド!B116))</f>
        <v/>
      </c>
      <c r="H116" s="1" t="s">
        <v>183</v>
      </c>
      <c r="I116" s="1" t="s">
        <v>184</v>
      </c>
      <c r="J116" s="1" t="b">
        <f t="shared" si="11"/>
        <v>0</v>
      </c>
      <c r="K116" s="1" t="b">
        <f t="shared" si="12"/>
        <v>0</v>
      </c>
    </row>
    <row r="117" spans="1:11">
      <c r="A117" s="5"/>
      <c r="B117" s="12"/>
      <c r="C117" s="13">
        <f t="shared" si="15"/>
        <v>0</v>
      </c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183</v>
      </c>
      <c r="I117" s="1" t="s">
        <v>184</v>
      </c>
      <c r="J117" s="1" t="b">
        <f t="shared" si="11"/>
        <v>0</v>
      </c>
      <c r="K117" s="1" t="b">
        <f t="shared" si="12"/>
        <v>0</v>
      </c>
    </row>
    <row r="118" spans="1:11">
      <c r="A118" s="5"/>
      <c r="B118" s="12"/>
      <c r="C118" s="13">
        <f t="shared" si="15"/>
        <v>0</v>
      </c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183</v>
      </c>
      <c r="I118" s="1" t="s">
        <v>184</v>
      </c>
      <c r="J118" s="1" t="b">
        <f t="shared" si="11"/>
        <v>0</v>
      </c>
      <c r="K118" s="1" t="b">
        <f t="shared" si="12"/>
        <v>0</v>
      </c>
    </row>
    <row r="119" spans="1:11">
      <c r="A119" s="5"/>
      <c r="B119" s="12"/>
      <c r="C119" s="13">
        <f t="shared" si="15"/>
        <v>0</v>
      </c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183</v>
      </c>
      <c r="I119" s="1" t="s">
        <v>184</v>
      </c>
      <c r="J119" s="1" t="b">
        <f t="shared" si="11"/>
        <v>0</v>
      </c>
      <c r="K119" s="1" t="b">
        <f t="shared" si="12"/>
        <v>0</v>
      </c>
    </row>
    <row r="120" spans="1:11">
      <c r="A120" s="5"/>
      <c r="B120" s="12"/>
      <c r="C120" s="13">
        <f t="shared" si="15"/>
        <v>0</v>
      </c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183</v>
      </c>
      <c r="I120" s="1" t="s">
        <v>184</v>
      </c>
      <c r="J120" s="1" t="b">
        <f t="shared" si="11"/>
        <v>0</v>
      </c>
      <c r="K120" s="1" t="b">
        <f t="shared" si="12"/>
        <v>0</v>
      </c>
    </row>
    <row r="121" spans="1:11">
      <c r="A121" s="5"/>
      <c r="B121" s="12"/>
      <c r="C121" s="13">
        <f t="shared" si="15"/>
        <v>0</v>
      </c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183</v>
      </c>
      <c r="I121" s="1" t="s">
        <v>184</v>
      </c>
      <c r="J121" s="1" t="b">
        <f t="shared" si="11"/>
        <v>0</v>
      </c>
      <c r="K121" s="1" t="b">
        <f t="shared" si="12"/>
        <v>0</v>
      </c>
    </row>
    <row r="122" spans="1:11">
      <c r="A122" s="5"/>
      <c r="B122" s="12"/>
      <c r="C122" s="13">
        <f t="shared" si="15"/>
        <v>0</v>
      </c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183</v>
      </c>
      <c r="I122" s="1" t="s">
        <v>184</v>
      </c>
      <c r="J122" s="1" t="b">
        <f t="shared" si="11"/>
        <v>0</v>
      </c>
      <c r="K122" s="1" t="b">
        <f t="shared" si="12"/>
        <v>0</v>
      </c>
    </row>
    <row r="123" spans="1:11">
      <c r="A123" s="5"/>
      <c r="B123" s="12"/>
      <c r="C123" s="13">
        <f t="shared" si="15"/>
        <v>0</v>
      </c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183</v>
      </c>
      <c r="I123" s="1" t="s">
        <v>184</v>
      </c>
      <c r="J123" s="1" t="b">
        <f t="shared" si="11"/>
        <v>0</v>
      </c>
      <c r="K123" s="1" t="b">
        <f t="shared" si="12"/>
        <v>0</v>
      </c>
    </row>
    <row r="124" spans="1:11">
      <c r="A124" s="5"/>
      <c r="B124" s="12"/>
      <c r="C124" s="13">
        <f t="shared" si="15"/>
        <v>0</v>
      </c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183</v>
      </c>
      <c r="I124" s="1" t="s">
        <v>184</v>
      </c>
      <c r="J124" s="1" t="b">
        <f t="shared" si="11"/>
        <v>0</v>
      </c>
      <c r="K124" s="1" t="b">
        <f t="shared" si="12"/>
        <v>0</v>
      </c>
    </row>
    <row r="125" spans="1:11">
      <c r="A125" s="5"/>
      <c r="B125" s="12"/>
      <c r="C125" s="13">
        <f t="shared" si="15"/>
        <v>0</v>
      </c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183</v>
      </c>
      <c r="I125" s="1" t="s">
        <v>184</v>
      </c>
      <c r="J125" s="1" t="b">
        <f t="shared" si="11"/>
        <v>0</v>
      </c>
      <c r="K125" s="1" t="b">
        <f t="shared" si="12"/>
        <v>0</v>
      </c>
    </row>
    <row r="126" spans="1:11">
      <c r="A126" s="5"/>
      <c r="B126" s="12"/>
      <c r="C126" s="13">
        <f t="shared" si="15"/>
        <v>0</v>
      </c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183</v>
      </c>
      <c r="I126" s="1" t="s">
        <v>184</v>
      </c>
      <c r="J126" s="1" t="b">
        <f t="shared" si="11"/>
        <v>0</v>
      </c>
      <c r="K126" s="1" t="b">
        <f t="shared" si="12"/>
        <v>0</v>
      </c>
    </row>
    <row r="127" spans="1:11">
      <c r="A127" s="5"/>
      <c r="B127" s="12"/>
      <c r="C127" s="13">
        <f t="shared" si="15"/>
        <v>0</v>
      </c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183</v>
      </c>
      <c r="I127" s="1" t="s">
        <v>184</v>
      </c>
      <c r="J127" s="1" t="b">
        <f t="shared" si="11"/>
        <v>0</v>
      </c>
      <c r="K127" s="1" t="b">
        <f t="shared" si="12"/>
        <v>0</v>
      </c>
    </row>
    <row r="128" spans="1:11">
      <c r="A128" s="5"/>
      <c r="B128" s="12"/>
      <c r="C128" s="13">
        <f t="shared" si="15"/>
        <v>0</v>
      </c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183</v>
      </c>
      <c r="I128" s="1" t="s">
        <v>184</v>
      </c>
      <c r="J128" s="1" t="b">
        <f t="shared" si="11"/>
        <v>0</v>
      </c>
      <c r="K128" s="1" t="b">
        <f t="shared" si="12"/>
        <v>0</v>
      </c>
    </row>
    <row r="129" spans="1:11">
      <c r="A129" s="5"/>
      <c r="B129" s="12"/>
      <c r="C129" s="13">
        <f t="shared" si="15"/>
        <v>0</v>
      </c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183</v>
      </c>
      <c r="I129" s="1" t="s">
        <v>184</v>
      </c>
      <c r="J129" s="1" t="b">
        <f t="shared" si="11"/>
        <v>0</v>
      </c>
      <c r="K129" s="1" t="b">
        <f t="shared" si="12"/>
        <v>0</v>
      </c>
    </row>
    <row r="130" spans="1:11">
      <c r="A130" s="5"/>
      <c r="B130" s="12"/>
      <c r="C130" s="13">
        <f t="shared" si="15"/>
        <v>0</v>
      </c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183</v>
      </c>
      <c r="I130" s="1" t="s">
        <v>184</v>
      </c>
      <c r="J130" s="1" t="b">
        <f t="shared" si="11"/>
        <v>0</v>
      </c>
      <c r="K130" s="1" t="b">
        <f t="shared" si="12"/>
        <v>0</v>
      </c>
    </row>
    <row r="131" spans="1:11">
      <c r="A131" s="5"/>
      <c r="B131" s="12"/>
      <c r="C131" s="13">
        <f t="shared" si="15"/>
        <v>0</v>
      </c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183</v>
      </c>
      <c r="I131" s="1" t="s">
        <v>184</v>
      </c>
      <c r="J131" s="1" t="b">
        <f t="shared" si="11"/>
        <v>0</v>
      </c>
      <c r="K131" s="1" t="b">
        <f t="shared" si="12"/>
        <v>0</v>
      </c>
    </row>
    <row r="132" spans="1:11">
      <c r="A132" s="5"/>
      <c r="B132" s="12"/>
      <c r="C132" s="13">
        <f t="shared" si="15"/>
        <v>0</v>
      </c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183</v>
      </c>
      <c r="I132" s="1" t="s">
        <v>184</v>
      </c>
      <c r="J132" s="1" t="b">
        <f t="shared" si="11"/>
        <v>0</v>
      </c>
      <c r="K132" s="1" t="b">
        <f t="shared" si="12"/>
        <v>0</v>
      </c>
    </row>
    <row r="133" spans="1:11">
      <c r="A133" s="5"/>
      <c r="B133" s="12"/>
      <c r="C133" s="13">
        <f t="shared" si="15"/>
        <v>0</v>
      </c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183</v>
      </c>
      <c r="I133" s="1" t="s">
        <v>184</v>
      </c>
      <c r="J133" s="1" t="b">
        <f t="shared" si="11"/>
        <v>0</v>
      </c>
      <c r="K133" s="1" t="b">
        <f t="shared" si="12"/>
        <v>0</v>
      </c>
    </row>
    <row r="134" spans="1:11">
      <c r="A134" s="5"/>
      <c r="B134" s="12"/>
      <c r="C134" s="13">
        <f t="shared" si="15"/>
        <v>0</v>
      </c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183</v>
      </c>
      <c r="I134" s="1" t="s">
        <v>184</v>
      </c>
      <c r="J134" s="1" t="b">
        <f t="shared" si="11"/>
        <v>0</v>
      </c>
      <c r="K134" s="1" t="b">
        <f t="shared" si="12"/>
        <v>0</v>
      </c>
    </row>
    <row r="135" spans="1:11">
      <c r="A135" s="5"/>
      <c r="B135" s="12"/>
      <c r="C135" s="13">
        <f t="shared" si="15"/>
        <v>0</v>
      </c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183</v>
      </c>
      <c r="I135" s="1" t="s">
        <v>184</v>
      </c>
      <c r="J135" s="1" t="b">
        <f t="shared" si="11"/>
        <v>0</v>
      </c>
      <c r="K135" s="1" t="b">
        <f t="shared" si="12"/>
        <v>0</v>
      </c>
    </row>
    <row r="136" spans="1:11">
      <c r="A136" s="5"/>
      <c r="B136" s="12"/>
      <c r="C136" s="13">
        <f t="shared" si="15"/>
        <v>0</v>
      </c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183</v>
      </c>
      <c r="I136" s="1" t="s">
        <v>184</v>
      </c>
      <c r="J136" s="1" t="b">
        <f t="shared" si="11"/>
        <v>0</v>
      </c>
      <c r="K136" s="1" t="b">
        <f t="shared" si="12"/>
        <v>0</v>
      </c>
    </row>
    <row r="137" spans="1:11">
      <c r="A137" s="5"/>
      <c r="B137" s="12"/>
      <c r="C137" s="13">
        <f t="shared" si="15"/>
        <v>0</v>
      </c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183</v>
      </c>
      <c r="I137" s="1" t="s">
        <v>184</v>
      </c>
      <c r="J137" s="1" t="b">
        <f t="shared" si="11"/>
        <v>0</v>
      </c>
      <c r="K137" s="1" t="b">
        <f t="shared" si="12"/>
        <v>0</v>
      </c>
    </row>
    <row r="138" spans="1:11">
      <c r="A138" s="5"/>
      <c r="B138" s="12"/>
      <c r="C138" s="13">
        <f t="shared" si="15"/>
        <v>0</v>
      </c>
      <c r="D138" s="2" t="str">
        <f t="shared" ref="D138:D150" si="16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7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183</v>
      </c>
      <c r="I138" s="1" t="s">
        <v>184</v>
      </c>
      <c r="J138" s="1" t="b">
        <f t="shared" si="11"/>
        <v>0</v>
      </c>
      <c r="K138" s="1" t="b">
        <f t="shared" si="12"/>
        <v>0</v>
      </c>
    </row>
    <row r="139" spans="1:11">
      <c r="A139" s="5"/>
      <c r="B139" s="12"/>
      <c r="C139" s="13">
        <f t="shared" si="15"/>
        <v>0</v>
      </c>
      <c r="D139" s="2" t="str">
        <f t="shared" si="16"/>
        <v/>
      </c>
      <c r="E139" s="2" t="str">
        <f t="shared" si="17"/>
        <v/>
      </c>
      <c r="F139" s="1" t="str">
        <f>IF(B139="","",COUNTIF(プログラムリスト!A:A,コマンド!B139))</f>
        <v/>
      </c>
      <c r="H139" s="1" t="s">
        <v>183</v>
      </c>
      <c r="I139" s="1" t="s">
        <v>184</v>
      </c>
      <c r="J139" s="1" t="b">
        <f t="shared" si="11"/>
        <v>0</v>
      </c>
      <c r="K139" s="1" t="b">
        <f t="shared" si="12"/>
        <v>0</v>
      </c>
    </row>
    <row r="140" spans="1:11">
      <c r="A140" s="5"/>
      <c r="B140" s="12"/>
      <c r="C140" s="13">
        <f t="shared" si="15"/>
        <v>0</v>
      </c>
      <c r="D140" s="2" t="str">
        <f t="shared" si="16"/>
        <v/>
      </c>
      <c r="E140" s="2" t="str">
        <f t="shared" si="17"/>
        <v/>
      </c>
      <c r="F140" s="1" t="str">
        <f>IF(B140="","",COUNTIF(プログラムリスト!A:A,コマンド!B140))</f>
        <v/>
      </c>
      <c r="H140" s="1" t="s">
        <v>183</v>
      </c>
      <c r="I140" s="1" t="s">
        <v>184</v>
      </c>
      <c r="J140" s="1" t="b">
        <f t="shared" si="11"/>
        <v>0</v>
      </c>
      <c r="K140" s="1" t="b">
        <f t="shared" si="12"/>
        <v>0</v>
      </c>
    </row>
    <row r="141" spans="1:11">
      <c r="A141" s="5"/>
      <c r="B141" s="12"/>
      <c r="C141" s="13">
        <f t="shared" si="15"/>
        <v>0</v>
      </c>
      <c r="D141" s="2" t="str">
        <f t="shared" si="16"/>
        <v/>
      </c>
      <c r="E141" s="2" t="str">
        <f t="shared" si="17"/>
        <v/>
      </c>
      <c r="F141" s="1" t="str">
        <f>IF(B141="","",COUNTIF(プログラムリスト!A:A,コマンド!B141))</f>
        <v/>
      </c>
      <c r="H141" s="1" t="s">
        <v>183</v>
      </c>
      <c r="I141" s="1" t="s">
        <v>184</v>
      </c>
      <c r="J141" s="1" t="b">
        <f t="shared" si="11"/>
        <v>0</v>
      </c>
      <c r="K141" s="1" t="b">
        <f t="shared" si="12"/>
        <v>0</v>
      </c>
    </row>
    <row r="142" spans="1:11">
      <c r="A142" s="5"/>
      <c r="B142" s="12"/>
      <c r="C142" s="13">
        <f t="shared" si="15"/>
        <v>0</v>
      </c>
      <c r="D142" s="2" t="str">
        <f t="shared" si="16"/>
        <v/>
      </c>
      <c r="E142" s="2" t="str">
        <f t="shared" si="17"/>
        <v/>
      </c>
      <c r="F142" s="1" t="str">
        <f>IF(B142="","",COUNTIF(プログラムリスト!A:A,コマンド!B142))</f>
        <v/>
      </c>
      <c r="H142" s="1" t="s">
        <v>183</v>
      </c>
      <c r="I142" s="1" t="s">
        <v>184</v>
      </c>
      <c r="J142" s="1" t="b">
        <f t="shared" si="11"/>
        <v>0</v>
      </c>
      <c r="K142" s="1" t="b">
        <f t="shared" si="12"/>
        <v>0</v>
      </c>
    </row>
    <row r="143" spans="1:11">
      <c r="A143" s="5"/>
      <c r="B143" s="12"/>
      <c r="C143" s="13">
        <f t="shared" si="15"/>
        <v>0</v>
      </c>
      <c r="D143" s="2" t="str">
        <f t="shared" si="16"/>
        <v/>
      </c>
      <c r="E143" s="2" t="str">
        <f t="shared" si="17"/>
        <v/>
      </c>
      <c r="F143" s="1" t="str">
        <f>IF(B143="","",COUNTIF(プログラムリスト!A:A,コマンド!B143))</f>
        <v/>
      </c>
      <c r="H143" s="1" t="s">
        <v>183</v>
      </c>
      <c r="I143" s="1" t="s">
        <v>184</v>
      </c>
      <c r="J143" s="1" t="b">
        <f t="shared" si="11"/>
        <v>0</v>
      </c>
      <c r="K143" s="1" t="b">
        <f t="shared" si="12"/>
        <v>0</v>
      </c>
    </row>
    <row r="144" spans="1:11">
      <c r="A144" s="5"/>
      <c r="B144" s="12"/>
      <c r="C144" s="13">
        <f t="shared" si="15"/>
        <v>0</v>
      </c>
      <c r="D144" s="2" t="str">
        <f t="shared" si="16"/>
        <v/>
      </c>
      <c r="E144" s="2" t="str">
        <f t="shared" si="17"/>
        <v/>
      </c>
      <c r="F144" s="1" t="str">
        <f>IF(B144="","",COUNTIF(プログラムリスト!A:A,コマンド!B144))</f>
        <v/>
      </c>
      <c r="H144" s="1" t="s">
        <v>183</v>
      </c>
      <c r="I144" s="1" t="s">
        <v>184</v>
      </c>
      <c r="J144" s="1" t="b">
        <f t="shared" si="11"/>
        <v>0</v>
      </c>
      <c r="K144" s="1" t="b">
        <f t="shared" si="12"/>
        <v>0</v>
      </c>
    </row>
    <row r="145" spans="1:11">
      <c r="A145" s="5"/>
      <c r="B145" s="12"/>
      <c r="C145" s="13">
        <f t="shared" si="15"/>
        <v>0</v>
      </c>
      <c r="D145" s="2" t="str">
        <f t="shared" si="16"/>
        <v/>
      </c>
      <c r="E145" s="2" t="str">
        <f t="shared" si="17"/>
        <v/>
      </c>
      <c r="F145" s="1" t="str">
        <f>IF(B145="","",COUNTIF(プログラムリスト!A:A,コマンド!B145))</f>
        <v/>
      </c>
      <c r="H145" s="1" t="s">
        <v>183</v>
      </c>
      <c r="I145" s="1" t="s">
        <v>184</v>
      </c>
      <c r="J145" s="1" t="b">
        <f t="shared" si="11"/>
        <v>0</v>
      </c>
      <c r="K145" s="1" t="b">
        <f t="shared" si="12"/>
        <v>0</v>
      </c>
    </row>
    <row r="146" spans="1:11">
      <c r="A146" s="5"/>
      <c r="B146" s="12"/>
      <c r="C146" s="13">
        <f t="shared" si="15"/>
        <v>0</v>
      </c>
      <c r="D146" s="2" t="str">
        <f t="shared" si="16"/>
        <v/>
      </c>
      <c r="E146" s="2" t="str">
        <f t="shared" si="17"/>
        <v/>
      </c>
      <c r="F146" s="1" t="str">
        <f>IF(B146="","",COUNTIF(プログラムリスト!A:A,コマンド!B146))</f>
        <v/>
      </c>
      <c r="H146" s="1" t="s">
        <v>183</v>
      </c>
      <c r="I146" s="1" t="s">
        <v>184</v>
      </c>
      <c r="J146" s="1" t="b">
        <f t="shared" si="11"/>
        <v>0</v>
      </c>
      <c r="K146" s="1" t="b">
        <f t="shared" si="12"/>
        <v>0</v>
      </c>
    </row>
    <row r="147" spans="1:11">
      <c r="A147" s="5"/>
      <c r="B147" s="12"/>
      <c r="C147" s="13">
        <f t="shared" si="15"/>
        <v>0</v>
      </c>
      <c r="D147" s="2" t="str">
        <f t="shared" si="16"/>
        <v/>
      </c>
      <c r="E147" s="2" t="str">
        <f t="shared" si="17"/>
        <v/>
      </c>
      <c r="F147" s="1" t="str">
        <f>IF(B147="","",COUNTIF(プログラムリスト!A:A,コマンド!B147))</f>
        <v/>
      </c>
      <c r="H147" s="1" t="s">
        <v>183</v>
      </c>
      <c r="I147" s="1" t="s">
        <v>184</v>
      </c>
      <c r="J147" s="1" t="b">
        <f t="shared" si="11"/>
        <v>0</v>
      </c>
      <c r="K147" s="1" t="b">
        <f t="shared" si="12"/>
        <v>0</v>
      </c>
    </row>
    <row r="148" spans="1:11">
      <c r="A148" s="5"/>
      <c r="B148" s="12"/>
      <c r="C148" s="13">
        <f t="shared" si="15"/>
        <v>0</v>
      </c>
      <c r="D148" s="2" t="str">
        <f t="shared" si="16"/>
        <v/>
      </c>
      <c r="E148" s="2" t="str">
        <f t="shared" si="17"/>
        <v/>
      </c>
      <c r="F148" s="1" t="str">
        <f>IF(B148="","",COUNTIF(プログラムリスト!A:A,コマンド!B148))</f>
        <v/>
      </c>
      <c r="H148" s="1" t="s">
        <v>183</v>
      </c>
      <c r="I148" s="1" t="s">
        <v>184</v>
      </c>
      <c r="J148" s="1" t="b">
        <f t="shared" si="11"/>
        <v>0</v>
      </c>
      <c r="K148" s="1" t="b">
        <f t="shared" si="12"/>
        <v>0</v>
      </c>
    </row>
    <row r="149" spans="1:11">
      <c r="A149" s="5"/>
      <c r="B149" s="12"/>
      <c r="C149" s="13">
        <f t="shared" si="15"/>
        <v>0</v>
      </c>
      <c r="D149" s="2" t="str">
        <f t="shared" si="16"/>
        <v/>
      </c>
      <c r="E149" s="2" t="str">
        <f t="shared" si="17"/>
        <v/>
      </c>
      <c r="F149" s="1" t="str">
        <f>IF(B149="","",COUNTIF(プログラムリスト!A:A,コマンド!B149))</f>
        <v/>
      </c>
      <c r="H149" s="1" t="s">
        <v>183</v>
      </c>
      <c r="I149" s="1" t="s">
        <v>184</v>
      </c>
      <c r="J149" s="1" t="b">
        <f t="shared" si="11"/>
        <v>0</v>
      </c>
      <c r="K149" s="1" t="b">
        <f t="shared" si="12"/>
        <v>0</v>
      </c>
    </row>
    <row r="150" spans="1:11">
      <c r="A150" s="5"/>
      <c r="B150" s="12"/>
      <c r="C150" s="13">
        <f t="shared" si="15"/>
        <v>0</v>
      </c>
      <c r="D150" s="2" t="str">
        <f t="shared" si="16"/>
        <v/>
      </c>
      <c r="E150" s="2" t="str">
        <f t="shared" si="17"/>
        <v/>
      </c>
      <c r="F150" s="1" t="str">
        <f>IF(B150="","",COUNTIF(プログラムリスト!A:A,コマンド!B150))</f>
        <v/>
      </c>
      <c r="H150" s="1" t="s">
        <v>183</v>
      </c>
      <c r="I150" s="1" t="s">
        <v>184</v>
      </c>
      <c r="J150" s="1" t="b">
        <f t="shared" si="11"/>
        <v>0</v>
      </c>
      <c r="K150" s="1" t="b">
        <f t="shared" si="12"/>
        <v>0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 filterMode="1"/>
  <dimension ref="A1:C2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7" sqref="B17"/>
    </sheetView>
  </sheetViews>
  <sheetFormatPr defaultRowHeight="11.25"/>
  <cols>
    <col min="1" max="1" width="29.33203125" bestFit="1" customWidth="1"/>
  </cols>
  <sheetData>
    <row r="1" spans="1:3">
      <c r="A1" t="s">
        <v>108</v>
      </c>
      <c r="B1" t="s">
        <v>107</v>
      </c>
      <c r="C1" t="str">
        <f>COUNTA($A$2:$A$201)-1-SUM($B$2:$B$201)&amp;"("&amp;SUM($B$2:$B$201)&amp;"/"&amp;COUNTA($A$2:$A$201)-1&amp;")"</f>
        <v>4(106/110)</v>
      </c>
    </row>
    <row r="2" spans="1:3" ht="5.25" hidden="1" customHeight="1"/>
    <row r="3" spans="1:3" hidden="1">
      <c r="A3" t="s">
        <v>5</v>
      </c>
      <c r="B3">
        <f>IF(OR(A3="",A3="AddToSystemPathes.bat.lnk"),"",COUNTIF(コマンド!B:B,プログラムリスト!A3))</f>
        <v>1</v>
      </c>
    </row>
    <row r="4" spans="1:3" hidden="1">
      <c r="A4" t="s">
        <v>33</v>
      </c>
      <c r="B4">
        <f>IF(OR(A4="",A4="AddToSystemPathes.bat.lnk"),"",COUNTIF(コマンド!B:B,プログラムリスト!A4))</f>
        <v>1</v>
      </c>
    </row>
    <row r="5" spans="1:3" hidden="1">
      <c r="A5" t="s">
        <v>34</v>
      </c>
      <c r="B5">
        <f>IF(OR(A5="",A5="AddToSystemPathes.bat.lnk"),"",COUNTIF(コマンド!B:B,プログラムリスト!A5))</f>
        <v>1</v>
      </c>
    </row>
    <row r="6" spans="1:3" hidden="1">
      <c r="A6" t="s">
        <v>35</v>
      </c>
      <c r="B6">
        <f>IF(OR(A6="",A6="AddToSystemPathes.bat.lnk"),"",COUNTIF(コマンド!B:B,プログラムリスト!A6))</f>
        <v>1</v>
      </c>
    </row>
    <row r="7" spans="1:3" hidden="1">
      <c r="A7" t="s">
        <v>6</v>
      </c>
      <c r="B7">
        <f>IF(OR(A7="",A7="AddToSystemPathes.bat.lnk"),"",COUNTIF(コマンド!B:B,プログラムリスト!A7))</f>
        <v>1</v>
      </c>
    </row>
    <row r="8" spans="1:3" hidden="1">
      <c r="A8" t="s">
        <v>7</v>
      </c>
      <c r="B8">
        <f>IF(OR(A8="",A8="AddToSystemPathes.bat.lnk"),"",COUNTIF(コマンド!B:B,プログラムリスト!A8))</f>
        <v>1</v>
      </c>
    </row>
    <row r="9" spans="1:3" hidden="1">
      <c r="A9" t="s">
        <v>36</v>
      </c>
      <c r="B9">
        <f>IF(OR(A9="",A9="AddToSystemPathes.bat.lnk"),"",COUNTIF(コマンド!B:B,プログラムリスト!A9))</f>
        <v>1</v>
      </c>
    </row>
    <row r="10" spans="1:3" hidden="1">
      <c r="A10" t="s">
        <v>8</v>
      </c>
      <c r="B10">
        <f>IF(OR(A10="",A10="AddToSystemPathes.bat.lnk"),"",COUNTIF(コマンド!B:B,プログラムリスト!A10))</f>
        <v>1</v>
      </c>
    </row>
    <row r="11" spans="1:3" hidden="1">
      <c r="A11" t="s">
        <v>9</v>
      </c>
      <c r="B11">
        <f>IF(OR(A11="",A11="AddToSystemPathes.bat.lnk"),"",COUNTIF(コマンド!B:B,プログラムリスト!A11))</f>
        <v>1</v>
      </c>
    </row>
    <row r="12" spans="1:3" hidden="1">
      <c r="A12" t="s">
        <v>37</v>
      </c>
      <c r="B12">
        <f>IF(OR(A12="",A12="AddToSystemPathes.bat.lnk"),"",COUNTIF(コマンド!B:B,プログラムリスト!A12))</f>
        <v>1</v>
      </c>
    </row>
    <row r="13" spans="1:3" hidden="1">
      <c r="A13" t="s">
        <v>187</v>
      </c>
      <c r="B13">
        <f>IF(OR(A13="",A13="AddToSystemPathes.bat.lnk"),"",COUNTIF(コマンド!B:B,プログラムリスト!A13))</f>
        <v>1</v>
      </c>
    </row>
    <row r="14" spans="1:3" hidden="1">
      <c r="A14" t="s">
        <v>38</v>
      </c>
      <c r="B14">
        <f>IF(OR(A14="",A14="AddToSystemPathes.bat.lnk"),"",COUNTIF(コマンド!B:B,プログラムリスト!A14))</f>
        <v>1</v>
      </c>
    </row>
    <row r="15" spans="1:3" hidden="1">
      <c r="A15" t="s">
        <v>39</v>
      </c>
      <c r="B15">
        <f>IF(OR(A15="",A15="AddToSystemPathes.bat.lnk"),"",COUNTIF(コマンド!B:B,プログラムリスト!A15))</f>
        <v>1</v>
      </c>
    </row>
    <row r="16" spans="1:3" hidden="1">
      <c r="A16" t="s">
        <v>40</v>
      </c>
      <c r="B16">
        <f>IF(OR(A16="",A16="AddToSystemPathes.bat.lnk"),"",COUNTIF(コマンド!B:B,プログラムリスト!A16))</f>
        <v>1</v>
      </c>
    </row>
    <row r="17" spans="1:2">
      <c r="A17" t="s">
        <v>199</v>
      </c>
      <c r="B17">
        <f>IF(OR(A17="",A17="AddToSystemPathes.bat.lnk"),"",COUNTIF(コマンド!B:B,プログラムリスト!A17))</f>
        <v>1</v>
      </c>
    </row>
    <row r="18" spans="1:2" hidden="1">
      <c r="A18" t="s">
        <v>41</v>
      </c>
      <c r="B18">
        <f>IF(OR(A18="",A18="AddToSystemPathes.bat.lnk"),"",COUNTIF(コマンド!B:B,プログラムリスト!A18))</f>
        <v>1</v>
      </c>
    </row>
    <row r="19" spans="1:2" hidden="1">
      <c r="A19" t="s">
        <v>42</v>
      </c>
      <c r="B19">
        <f>IF(OR(A19="",A19="AddToSystemPathes.bat.lnk"),"",COUNTIF(コマンド!B:B,プログラムリスト!A19))</f>
        <v>1</v>
      </c>
    </row>
    <row r="20" spans="1:2" hidden="1">
      <c r="A20" t="s">
        <v>43</v>
      </c>
      <c r="B20">
        <f>IF(OR(A20="",A20="AddToSystemPathes.bat.lnk"),"",COUNTIF(コマンド!B:B,プログラムリスト!A20))</f>
        <v>1</v>
      </c>
    </row>
    <row r="21" spans="1:2" hidden="1">
      <c r="A21" t="s">
        <v>44</v>
      </c>
      <c r="B21">
        <f>IF(OR(A21="",A21="AddToSystemPathes.bat.lnk"),"",COUNTIF(コマンド!B:B,プログラムリスト!A21))</f>
        <v>1</v>
      </c>
    </row>
    <row r="22" spans="1:2" hidden="1">
      <c r="A22" t="s">
        <v>45</v>
      </c>
      <c r="B22">
        <f>IF(OR(A22="",A22="AddToSystemPathes.bat.lnk"),"",COUNTIF(コマンド!B:B,プログラムリスト!A22))</f>
        <v>1</v>
      </c>
    </row>
    <row r="23" spans="1:2" hidden="1">
      <c r="A23" t="s">
        <v>46</v>
      </c>
      <c r="B23">
        <f>IF(OR(A23="",A23="AddToSystemPathes.bat.lnk"),"",COUNTIF(コマンド!B:B,プログラムリスト!A23))</f>
        <v>1</v>
      </c>
    </row>
    <row r="24" spans="1:2" hidden="1">
      <c r="A24" t="s">
        <v>47</v>
      </c>
      <c r="B24">
        <f>IF(OR(A24="",A24="AddToSystemPathes.bat.lnk"),"",COUNTIF(コマンド!B:B,プログラムリスト!A24))</f>
        <v>1</v>
      </c>
    </row>
    <row r="25" spans="1:2" hidden="1">
      <c r="A25" t="s">
        <v>48</v>
      </c>
      <c r="B25">
        <f>IF(OR(A25="",A25="AddToSystemPathes.bat.lnk"),"",COUNTIF(コマンド!B:B,プログラムリスト!A25))</f>
        <v>1</v>
      </c>
    </row>
    <row r="26" spans="1:2" hidden="1">
      <c r="A26" t="s">
        <v>186</v>
      </c>
      <c r="B26">
        <f>IF(OR(A26="",A26="AddToSystemPathes.bat.lnk"),"",COUNTIF(コマンド!B:B,プログラムリスト!A26))</f>
        <v>1</v>
      </c>
    </row>
    <row r="27" spans="1:2" hidden="1">
      <c r="A27" t="s">
        <v>49</v>
      </c>
      <c r="B27">
        <f>IF(OR(A27="",A27="AddToSystemPathes.bat.lnk"),"",COUNTIF(コマンド!B:B,プログラムリスト!A27))</f>
        <v>1</v>
      </c>
    </row>
    <row r="28" spans="1:2" hidden="1">
      <c r="A28" t="s">
        <v>188</v>
      </c>
      <c r="B28">
        <f>IF(OR(A28="",A28="AddToSystemPathes.bat.lnk"),"",COUNTIF(コマンド!B:B,プログラムリスト!A28))</f>
        <v>1</v>
      </c>
    </row>
    <row r="29" spans="1:2" hidden="1">
      <c r="A29" t="s">
        <v>10</v>
      </c>
      <c r="B29">
        <f>IF(OR(A29="",A29="AddToSystemPathes.bat.lnk"),"",COUNTIF(コマンド!B:B,プログラムリスト!A29))</f>
        <v>1</v>
      </c>
    </row>
    <row r="30" spans="1:2" hidden="1">
      <c r="A30" t="s">
        <v>50</v>
      </c>
      <c r="B30">
        <f>IF(OR(A30="",A30="AddToSystemPathes.bat.lnk"),"",COUNTIF(コマンド!B:B,プログラムリスト!A30))</f>
        <v>1</v>
      </c>
    </row>
    <row r="31" spans="1:2" hidden="1">
      <c r="A31" t="s">
        <v>11</v>
      </c>
      <c r="B31">
        <f>IF(OR(A31="",A31="AddToSystemPathes.bat.lnk"),"",COUNTIF(コマンド!B:B,プログラムリスト!A31))</f>
        <v>1</v>
      </c>
    </row>
    <row r="32" spans="1:2" hidden="1">
      <c r="A32" t="s">
        <v>12</v>
      </c>
      <c r="B32">
        <f>IF(OR(A32="",A32="AddToSystemPathes.bat.lnk"),"",COUNTIF(コマンド!B:B,プログラムリスト!A32))</f>
        <v>1</v>
      </c>
    </row>
    <row r="33" spans="1:2" hidden="1">
      <c r="A33" t="s">
        <v>13</v>
      </c>
      <c r="B33">
        <f>IF(OR(A33="",A33="AddToSystemPathes.bat.lnk"),"",COUNTIF(コマンド!B:B,プログラムリスト!A33))</f>
        <v>1</v>
      </c>
    </row>
    <row r="34" spans="1:2" hidden="1">
      <c r="A34" t="s">
        <v>51</v>
      </c>
      <c r="B34">
        <f>IF(OR(A34="",A34="AddToSystemPathes.bat.lnk"),"",COUNTIF(コマンド!B:B,プログラムリスト!A34))</f>
        <v>1</v>
      </c>
    </row>
    <row r="35" spans="1:2" hidden="1">
      <c r="A35" t="s">
        <v>52</v>
      </c>
      <c r="B35">
        <f>IF(OR(A35="",A35="AddToSystemPathes.bat.lnk"),"",COUNTIF(コマンド!B:B,プログラムリスト!A35))</f>
        <v>1</v>
      </c>
    </row>
    <row r="36" spans="1:2" hidden="1">
      <c r="A36" t="s">
        <v>53</v>
      </c>
      <c r="B36">
        <f>IF(OR(A36="",A36="AddToSystemPathes.bat.lnk"),"",COUNTIF(コマンド!B:B,プログラムリスト!A36))</f>
        <v>1</v>
      </c>
    </row>
    <row r="37" spans="1:2" hidden="1">
      <c r="A37" t="s">
        <v>54</v>
      </c>
      <c r="B37">
        <f>IF(OR(A37="",A37="AddToSystemPathes.bat.lnk"),"",COUNTIF(コマンド!B:B,プログラムリスト!A37))</f>
        <v>1</v>
      </c>
    </row>
    <row r="38" spans="1:2" hidden="1">
      <c r="A38" t="s">
        <v>14</v>
      </c>
      <c r="B38">
        <f>IF(OR(A38="",A38="AddToSystemPathes.bat.lnk"),"",COUNTIF(コマンド!B:B,プログラムリスト!A38))</f>
        <v>1</v>
      </c>
    </row>
    <row r="39" spans="1:2" hidden="1">
      <c r="A39" t="s">
        <v>55</v>
      </c>
      <c r="B39">
        <f>IF(OR(A39="",A39="AddToSystemPathes.bat.lnk"),"",COUNTIF(コマンド!B:B,プログラムリスト!A39))</f>
        <v>1</v>
      </c>
    </row>
    <row r="40" spans="1:2" hidden="1">
      <c r="A40" t="s">
        <v>56</v>
      </c>
      <c r="B40">
        <f>IF(OR(A40="",A40="AddToSystemPathes.bat.lnk"),"",COUNTIF(コマンド!B:B,プログラムリスト!A40))</f>
        <v>1</v>
      </c>
    </row>
    <row r="41" spans="1:2" hidden="1">
      <c r="A41" t="s">
        <v>15</v>
      </c>
      <c r="B41">
        <f>IF(OR(A41="",A41="AddToSystemPathes.bat.lnk"),"",COUNTIF(コマンド!B:B,プログラムリスト!A41))</f>
        <v>1</v>
      </c>
    </row>
    <row r="42" spans="1:2" hidden="1">
      <c r="A42" t="s">
        <v>57</v>
      </c>
      <c r="B42">
        <f>IF(OR(A42="",A42="AddToSystemPathes.bat.lnk"),"",COUNTIF(コマンド!B:B,プログラムリスト!A42))</f>
        <v>1</v>
      </c>
    </row>
    <row r="43" spans="1:2" hidden="1">
      <c r="A43" t="s">
        <v>58</v>
      </c>
      <c r="B43">
        <f>IF(OR(A43="",A43="AddToSystemPathes.bat.lnk"),"",COUNTIF(コマンド!B:B,プログラムリスト!A43))</f>
        <v>1</v>
      </c>
    </row>
    <row r="44" spans="1:2" hidden="1">
      <c r="A44" t="s">
        <v>110</v>
      </c>
      <c r="B44">
        <f>IF(OR(A44="",A44="AddToSystemPathes.bat.lnk"),"",COUNTIF(コマンド!B:B,プログラムリスト!A44))</f>
        <v>1</v>
      </c>
    </row>
    <row r="45" spans="1:2" hidden="1">
      <c r="A45" t="s">
        <v>16</v>
      </c>
      <c r="B45">
        <f>IF(OR(A45="",A45="AddToSystemPathes.bat.lnk"),"",COUNTIF(コマンド!B:B,プログラムリスト!A45))</f>
        <v>1</v>
      </c>
    </row>
    <row r="46" spans="1:2" hidden="1">
      <c r="A46" t="s">
        <v>17</v>
      </c>
      <c r="B46">
        <f>IF(OR(A46="",A46="AddToSystemPathes.bat.lnk"),"",COUNTIF(コマンド!B:B,プログラムリスト!A46))</f>
        <v>1</v>
      </c>
    </row>
    <row r="47" spans="1:2" hidden="1">
      <c r="A47" t="s">
        <v>59</v>
      </c>
      <c r="B47">
        <f>IF(OR(A47="",A47="AddToSystemPathes.bat.lnk"),"",COUNTIF(コマンド!B:B,プログラムリスト!A47))</f>
        <v>1</v>
      </c>
    </row>
    <row r="48" spans="1:2" hidden="1">
      <c r="A48" t="s">
        <v>189</v>
      </c>
      <c r="B48">
        <f>IF(OR(A48="",A48="AddToSystemPathes.bat.lnk"),"",COUNTIF(コマンド!B:B,プログラムリスト!A48))</f>
        <v>1</v>
      </c>
    </row>
    <row r="49" spans="1:2" hidden="1">
      <c r="A49" t="s">
        <v>60</v>
      </c>
      <c r="B49">
        <f>IF(OR(A49="",A49="AddToSystemPathes.bat.lnk"),"",COUNTIF(コマンド!B:B,プログラムリスト!A49))</f>
        <v>1</v>
      </c>
    </row>
    <row r="50" spans="1:2">
      <c r="A50" t="s">
        <v>200</v>
      </c>
      <c r="B50">
        <f>IF(OR(A50="",A50="AddToSystemPathes.bat.lnk"),"",COUNTIF(コマンド!B:B,プログラムリスト!A50))</f>
        <v>1</v>
      </c>
    </row>
    <row r="51" spans="1:2" hidden="1">
      <c r="A51" t="s">
        <v>61</v>
      </c>
      <c r="B51">
        <f>IF(OR(A51="",A51="AddToSystemPathes.bat.lnk"),"",COUNTIF(コマンド!B:B,プログラムリスト!A51))</f>
        <v>1</v>
      </c>
    </row>
    <row r="52" spans="1:2" hidden="1">
      <c r="A52" t="s">
        <v>62</v>
      </c>
      <c r="B52">
        <f>IF(OR(A52="",A52="AddToSystemPathes.bat.lnk"),"",COUNTIF(コマンド!B:B,プログラムリスト!A52))</f>
        <v>1</v>
      </c>
    </row>
    <row r="53" spans="1:2" hidden="1">
      <c r="A53" t="s">
        <v>18</v>
      </c>
      <c r="B53">
        <f>IF(OR(A53="",A53="AddToSystemPathes.bat.lnk"),"",COUNTIF(コマンド!B:B,プログラムリスト!A53))</f>
        <v>1</v>
      </c>
    </row>
    <row r="54" spans="1:2">
      <c r="A54" t="s">
        <v>190</v>
      </c>
      <c r="B54">
        <f>IF(OR(A54="",A54="AddToSystemPathes.bat.lnk"),"",COUNTIF(コマンド!B:B,プログラムリスト!A54))</f>
        <v>0</v>
      </c>
    </row>
    <row r="55" spans="1:2">
      <c r="A55" t="s">
        <v>191</v>
      </c>
      <c r="B55">
        <f>IF(OR(A55="",A55="AddToSystemPathes.bat.lnk"),"",COUNTIF(コマンド!B:B,プログラムリスト!A55))</f>
        <v>0</v>
      </c>
    </row>
    <row r="56" spans="1:2" hidden="1">
      <c r="A56" t="s">
        <v>192</v>
      </c>
      <c r="B56">
        <f>IF(OR(A56="",A56="AddToSystemPathes.bat.lnk"),"",COUNTIF(コマンド!B:B,プログラムリスト!A56))</f>
        <v>1</v>
      </c>
    </row>
    <row r="57" spans="1:2" hidden="1">
      <c r="A57" t="s">
        <v>19</v>
      </c>
      <c r="B57">
        <f>IF(OR(A57="",A57="AddToSystemPathes.bat.lnk"),"",COUNTIF(コマンド!B:B,プログラムリスト!A57))</f>
        <v>1</v>
      </c>
    </row>
    <row r="58" spans="1:2" hidden="1">
      <c r="A58" t="s">
        <v>63</v>
      </c>
      <c r="B58">
        <f>IF(OR(A58="",A58="AddToSystemPathes.bat.lnk"),"",COUNTIF(コマンド!B:B,プログラムリスト!A58))</f>
        <v>1</v>
      </c>
    </row>
    <row r="59" spans="1:2" hidden="1">
      <c r="A59" t="s">
        <v>193</v>
      </c>
      <c r="B59">
        <f>IF(OR(A59="",A59="AddToSystemPathes.bat.lnk"),"",COUNTIF(コマンド!B:B,プログラムリスト!A59))</f>
        <v>1</v>
      </c>
    </row>
    <row r="60" spans="1:2" hidden="1">
      <c r="A60" t="s">
        <v>64</v>
      </c>
      <c r="B60">
        <f>IF(OR(A60="",A60="AddToSystemPathes.bat.lnk"),"",COUNTIF(コマンド!B:B,プログラムリスト!A60))</f>
        <v>1</v>
      </c>
    </row>
    <row r="61" spans="1:2" hidden="1">
      <c r="A61" t="s">
        <v>65</v>
      </c>
      <c r="B61">
        <f>IF(OR(A61="",A61="AddToSystemPathes.bat.lnk"),"",COUNTIF(コマンド!B:B,プログラムリスト!A61))</f>
        <v>1</v>
      </c>
    </row>
    <row r="62" spans="1:2" hidden="1">
      <c r="A62" t="s">
        <v>66</v>
      </c>
      <c r="B62">
        <f>IF(OR(A62="",A62="AddToSystemPathes.bat.lnk"),"",COUNTIF(コマンド!B:B,プログラムリスト!A62))</f>
        <v>1</v>
      </c>
    </row>
    <row r="63" spans="1:2" hidden="1">
      <c r="A63" t="s">
        <v>67</v>
      </c>
      <c r="B63">
        <f>IF(OR(A63="",A63="AddToSystemPathes.bat.lnk"),"",COUNTIF(コマンド!B:B,プログラムリスト!A63))</f>
        <v>1</v>
      </c>
    </row>
    <row r="64" spans="1:2" hidden="1">
      <c r="A64" t="s">
        <v>20</v>
      </c>
      <c r="B64">
        <f>IF(OR(A64="",A64="AddToSystemPathes.bat.lnk"),"",COUNTIF(コマンド!B:B,プログラムリスト!A64))</f>
        <v>1</v>
      </c>
    </row>
    <row r="65" spans="1:2" hidden="1">
      <c r="A65" t="s">
        <v>68</v>
      </c>
      <c r="B65">
        <f>IF(OR(A65="",A65="AddToSystemPathes.bat.lnk"),"",COUNTIF(コマンド!B:B,プログラムリスト!A65))</f>
        <v>1</v>
      </c>
    </row>
    <row r="66" spans="1:2" hidden="1">
      <c r="A66" t="s">
        <v>69</v>
      </c>
      <c r="B66">
        <f>IF(OR(A66="",A66="AddToSystemPathes.bat.lnk"),"",COUNTIF(コマンド!B:B,プログラムリスト!A66))</f>
        <v>1</v>
      </c>
    </row>
    <row r="67" spans="1:2" hidden="1">
      <c r="A67" t="s">
        <v>70</v>
      </c>
      <c r="B67">
        <f>IF(OR(A67="",A67="AddToSystemPathes.bat.lnk"),"",COUNTIF(コマンド!B:B,プログラムリスト!A67))</f>
        <v>1</v>
      </c>
    </row>
    <row r="68" spans="1:2" hidden="1">
      <c r="A68" t="s">
        <v>71</v>
      </c>
      <c r="B68">
        <f>IF(OR(A68="",A68="AddToSystemPathes.bat.lnk"),"",COUNTIF(コマンド!B:B,プログラムリスト!A68))</f>
        <v>1</v>
      </c>
    </row>
    <row r="69" spans="1:2" hidden="1">
      <c r="A69" t="s">
        <v>72</v>
      </c>
      <c r="B69">
        <f>IF(OR(A69="",A69="AddToSystemPathes.bat.lnk"),"",COUNTIF(コマンド!B:B,プログラムリスト!A69))</f>
        <v>1</v>
      </c>
    </row>
    <row r="70" spans="1:2" hidden="1">
      <c r="A70" t="s">
        <v>73</v>
      </c>
      <c r="B70">
        <f>IF(OR(A70="",A70="AddToSystemPathes.bat.lnk"),"",COUNTIF(コマンド!B:B,プログラムリスト!A70))</f>
        <v>1</v>
      </c>
    </row>
    <row r="71" spans="1:2" hidden="1">
      <c r="A71" t="s">
        <v>103</v>
      </c>
      <c r="B71">
        <f>IF(OR(A71="",A71="AddToSystemPathes.bat.lnk"),"",COUNTIF(コマンド!B:B,プログラムリスト!A71))</f>
        <v>1</v>
      </c>
    </row>
    <row r="72" spans="1:2" hidden="1">
      <c r="A72" t="s">
        <v>74</v>
      </c>
      <c r="B72">
        <f>IF(OR(A72="",A72="AddToSystemPathes.bat.lnk"),"",COUNTIF(コマンド!B:B,プログラムリスト!A72))</f>
        <v>1</v>
      </c>
    </row>
    <row r="73" spans="1:2" hidden="1">
      <c r="A73" t="s">
        <v>75</v>
      </c>
      <c r="B73">
        <f>IF(OR(A73="",A73="AddToSystemPathes.bat.lnk"),"",COUNTIF(コマンド!B:B,プログラムリスト!A73))</f>
        <v>1</v>
      </c>
    </row>
    <row r="74" spans="1:2" hidden="1">
      <c r="A74" t="s">
        <v>76</v>
      </c>
      <c r="B74">
        <f>IF(OR(A74="",A74="AddToSystemPathes.bat.lnk"),"",COUNTIF(コマンド!B:B,プログラムリスト!A74))</f>
        <v>1</v>
      </c>
    </row>
    <row r="75" spans="1:2" hidden="1">
      <c r="A75" t="s">
        <v>21</v>
      </c>
      <c r="B75">
        <f>IF(OR(A75="",A75="AddToSystemPathes.bat.lnk"),"",COUNTIF(コマンド!B:B,プログラムリスト!A75))</f>
        <v>1</v>
      </c>
    </row>
    <row r="76" spans="1:2" hidden="1">
      <c r="A76" t="s">
        <v>77</v>
      </c>
      <c r="B76">
        <f>IF(OR(A76="",A76="AddToSystemPathes.bat.lnk"),"",COUNTIF(コマンド!B:B,プログラムリスト!A76))</f>
        <v>1</v>
      </c>
    </row>
    <row r="77" spans="1:2" hidden="1">
      <c r="A77" t="s">
        <v>78</v>
      </c>
      <c r="B77">
        <f>IF(OR(A77="",A77="AddToSystemPathes.bat.lnk"),"",COUNTIF(コマンド!B:B,プログラムリスト!A77))</f>
        <v>1</v>
      </c>
    </row>
    <row r="78" spans="1:2" hidden="1">
      <c r="A78" t="s">
        <v>194</v>
      </c>
      <c r="B78">
        <f>IF(OR(A78="",A78="AddToSystemPathes.bat.lnk"),"",COUNTIF(コマンド!B:B,プログラムリスト!A78))</f>
        <v>1</v>
      </c>
    </row>
    <row r="79" spans="1:2" hidden="1">
      <c r="A79" t="s">
        <v>79</v>
      </c>
      <c r="B79">
        <f>IF(OR(A79="",A79="AddToSystemPathes.bat.lnk"),"",COUNTIF(コマンド!B:B,プログラムリスト!A79))</f>
        <v>1</v>
      </c>
    </row>
    <row r="80" spans="1:2" hidden="1">
      <c r="A80" t="s">
        <v>22</v>
      </c>
      <c r="B80">
        <f>IF(OR(A80="",A80="AddToSystemPathes.bat.lnk"),"",COUNTIF(コマンド!B:B,プログラムリスト!A80))</f>
        <v>1</v>
      </c>
    </row>
    <row r="81" spans="1:2" hidden="1">
      <c r="A81" t="s">
        <v>80</v>
      </c>
      <c r="B81">
        <f>IF(OR(A81="",A81="AddToSystemPathes.bat.lnk"),"",COUNTIF(コマンド!B:B,プログラムリスト!A81))</f>
        <v>1</v>
      </c>
    </row>
    <row r="82" spans="1:2" hidden="1">
      <c r="A82" t="s">
        <v>81</v>
      </c>
      <c r="B82">
        <f>IF(OR(A82="",A82="AddToSystemPathes.bat.lnk"),"",COUNTIF(コマンド!B:B,プログラムリスト!A82))</f>
        <v>1</v>
      </c>
    </row>
    <row r="83" spans="1:2" hidden="1">
      <c r="A83" t="s">
        <v>105</v>
      </c>
      <c r="B83">
        <f>IF(OR(A83="",A83="AddToSystemPathes.bat.lnk"),"",COUNTIF(コマンド!B:B,プログラムリスト!A83))</f>
        <v>1</v>
      </c>
    </row>
    <row r="84" spans="1:2" hidden="1">
      <c r="A84" t="s">
        <v>106</v>
      </c>
      <c r="B84">
        <f>IF(OR(A84="",A84="AddToSystemPathes.bat.lnk"),"",COUNTIF(コマンド!B:B,プログラムリスト!A84))</f>
        <v>1</v>
      </c>
    </row>
    <row r="85" spans="1:2" hidden="1">
      <c r="A85" t="s">
        <v>82</v>
      </c>
      <c r="B85">
        <f>IF(OR(A85="",A85="AddToSystemPathes.bat.lnk"),"",COUNTIF(コマンド!B:B,プログラムリスト!A85))</f>
        <v>1</v>
      </c>
    </row>
    <row r="86" spans="1:2" hidden="1">
      <c r="A86" t="s">
        <v>83</v>
      </c>
      <c r="B86">
        <f>IF(OR(A86="",A86="AddToSystemPathes.bat.lnk"),"",COUNTIF(コマンド!B:B,プログラムリスト!A86))</f>
        <v>1</v>
      </c>
    </row>
    <row r="87" spans="1:2" hidden="1">
      <c r="A87" t="s">
        <v>84</v>
      </c>
      <c r="B87">
        <f>IF(OR(A87="",A87="AddToSystemPathes.bat.lnk"),"",COUNTIF(コマンド!B:B,プログラムリスト!A87))</f>
        <v>1</v>
      </c>
    </row>
    <row r="88" spans="1:2" hidden="1">
      <c r="A88" t="s">
        <v>195</v>
      </c>
      <c r="B88">
        <f>IF(OR(A88="",A88="AddToSystemPathes.bat.lnk"),"",COUNTIF(コマンド!B:B,プログラムリスト!A88))</f>
        <v>1</v>
      </c>
    </row>
    <row r="89" spans="1:2" hidden="1">
      <c r="A89" t="s">
        <v>23</v>
      </c>
      <c r="B89">
        <f>IF(OR(A89="",A89="AddToSystemPathes.bat.lnk"),"",COUNTIF(コマンド!B:B,プログラムリスト!A89))</f>
        <v>1</v>
      </c>
    </row>
    <row r="90" spans="1:2" hidden="1">
      <c r="A90" t="s">
        <v>85</v>
      </c>
      <c r="B90">
        <f>IF(OR(A90="",A90="AddToSystemPathes.bat.lnk"),"",COUNTIF(コマンド!B:B,プログラムリスト!A90))</f>
        <v>1</v>
      </c>
    </row>
    <row r="91" spans="1:2" hidden="1">
      <c r="A91" t="s">
        <v>86</v>
      </c>
      <c r="B91">
        <f>IF(OR(A91="",A91="AddToSystemPathes.bat.lnk"),"",COUNTIF(コマンド!B:B,プログラムリスト!A91))</f>
        <v>1</v>
      </c>
    </row>
    <row r="92" spans="1:2" hidden="1">
      <c r="A92" t="s">
        <v>87</v>
      </c>
      <c r="B92">
        <f>IF(OR(A92="",A92="AddToSystemPathes.bat.lnk"),"",COUNTIF(コマンド!B:B,プログラムリスト!A92))</f>
        <v>1</v>
      </c>
    </row>
    <row r="93" spans="1:2" hidden="1">
      <c r="A93" t="s">
        <v>88</v>
      </c>
      <c r="B93">
        <f>IF(OR(A93="",A93="AddToSystemPathes.bat.lnk"),"",COUNTIF(コマンド!B:B,プログラムリスト!A93))</f>
        <v>1</v>
      </c>
    </row>
    <row r="94" spans="1:2" hidden="1">
      <c r="A94" t="s">
        <v>24</v>
      </c>
      <c r="B94">
        <f>IF(OR(A94="",A94="AddToSystemPathes.bat.lnk"),"",COUNTIF(コマンド!B:B,プログラムリスト!A94))</f>
        <v>1</v>
      </c>
    </row>
    <row r="95" spans="1:2" hidden="1">
      <c r="A95" t="s">
        <v>89</v>
      </c>
      <c r="B95">
        <f>IF(OR(A95="",A95="AddToSystemPathes.bat.lnk"),"",COUNTIF(コマンド!B:B,プログラムリスト!A95))</f>
        <v>1</v>
      </c>
    </row>
    <row r="96" spans="1:2" hidden="1">
      <c r="A96" t="s">
        <v>196</v>
      </c>
      <c r="B96">
        <f>IF(OR(A96="",A96="AddToSystemPathes.bat.lnk"),"",COUNTIF(コマンド!B:B,プログラムリスト!A96))</f>
        <v>1</v>
      </c>
    </row>
    <row r="97" spans="1:2" hidden="1">
      <c r="A97" t="s">
        <v>90</v>
      </c>
      <c r="B97">
        <f>IF(OR(A97="",A97="AddToSystemPathes.bat.lnk"),"",COUNTIF(コマンド!B:B,プログラムリスト!A97))</f>
        <v>1</v>
      </c>
    </row>
    <row r="98" spans="1:2" hidden="1">
      <c r="A98" t="s">
        <v>91</v>
      </c>
      <c r="B98">
        <f>IF(OR(A98="",A98="AddToSystemPathes.bat.lnk"),"",COUNTIF(コマンド!B:B,プログラムリスト!A98))</f>
        <v>1</v>
      </c>
    </row>
    <row r="99" spans="1:2" hidden="1">
      <c r="A99" t="s">
        <v>25</v>
      </c>
      <c r="B99">
        <f>IF(OR(A99="",A99="AddToSystemPathes.bat.lnk"),"",COUNTIF(コマンド!B:B,プログラムリスト!A99))</f>
        <v>1</v>
      </c>
    </row>
    <row r="100" spans="1:2" hidden="1">
      <c r="A100" t="s">
        <v>111</v>
      </c>
      <c r="B100">
        <f>IF(OR(A100="",A100="AddToSystemPathes.bat.lnk"),"",COUNTIF(コマンド!B:B,プログラムリスト!A100))</f>
        <v>1</v>
      </c>
    </row>
    <row r="101" spans="1:2" hidden="1">
      <c r="A101" t="s">
        <v>92</v>
      </c>
      <c r="B101">
        <f>IF(OR(A101="",A101="AddToSystemPathes.bat.lnk"),"",COUNTIF(コマンド!B:B,プログラムリスト!A101))</f>
        <v>1</v>
      </c>
    </row>
    <row r="102" spans="1:2" hidden="1">
      <c r="A102" t="s">
        <v>109</v>
      </c>
      <c r="B102">
        <f>IF(OR(A102="",A102="AddToSystemPathes.bat.lnk"),"",COUNTIF(コマンド!B:B,プログラムリスト!A102))</f>
        <v>1</v>
      </c>
    </row>
    <row r="103" spans="1:2">
      <c r="A103" t="s">
        <v>197</v>
      </c>
      <c r="B103">
        <f>IF(OR(A103="",A103="AddToSystemPathes.bat.lnk"),"",COUNTIF(コマンド!B:B,プログラムリスト!A103))</f>
        <v>0</v>
      </c>
    </row>
    <row r="104" spans="1:2">
      <c r="A104" t="s">
        <v>198</v>
      </c>
      <c r="B104">
        <f>IF(OR(A104="",A104="AddToSystemPathes.bat.lnk"),"",COUNTIF(コマンド!B:B,プログラムリスト!A104))</f>
        <v>0</v>
      </c>
    </row>
    <row r="105" spans="1:2" hidden="1">
      <c r="A105" t="s">
        <v>93</v>
      </c>
      <c r="B105">
        <f>IF(OR(A105="",A105="AddToSystemPathes.bat.lnk"),"",COUNTIF(コマンド!B:B,プログラムリスト!A105))</f>
        <v>1</v>
      </c>
    </row>
    <row r="106" spans="1:2" hidden="1">
      <c r="A106" t="s">
        <v>94</v>
      </c>
      <c r="B106">
        <f>IF(OR(A106="",A106="AddToSystemPathes.bat.lnk"),"",COUNTIF(コマンド!B:B,プログラムリスト!A106))</f>
        <v>1</v>
      </c>
    </row>
    <row r="107" spans="1:2" hidden="1">
      <c r="A107" t="s">
        <v>26</v>
      </c>
      <c r="B107">
        <f>IF(OR(A107="",A107="AddToSystemPathes.bat.lnk"),"",COUNTIF(コマンド!B:B,プログラムリスト!A107))</f>
        <v>1</v>
      </c>
    </row>
    <row r="108" spans="1:2" hidden="1">
      <c r="A108" t="s">
        <v>95</v>
      </c>
      <c r="B108">
        <f>IF(OR(A108="",A108="AddToSystemPathes.bat.lnk"),"",COUNTIF(コマンド!B:B,プログラムリスト!A108))</f>
        <v>1</v>
      </c>
    </row>
    <row r="109" spans="1:2" hidden="1">
      <c r="A109" t="s">
        <v>96</v>
      </c>
      <c r="B109">
        <f>IF(OR(A109="",A109="AddToSystemPathes.bat.lnk"),"",COUNTIF(コマンド!B:B,プログラムリスト!A109))</f>
        <v>1</v>
      </c>
    </row>
    <row r="110" spans="1:2" hidden="1">
      <c r="A110" t="s">
        <v>97</v>
      </c>
      <c r="B110">
        <f>IF(OR(A110="",A110="AddToSystemPathes.bat.lnk"),"",COUNTIF(コマンド!B:B,プログラムリスト!A110))</f>
        <v>1</v>
      </c>
    </row>
    <row r="111" spans="1:2" hidden="1">
      <c r="A111" t="s">
        <v>98</v>
      </c>
      <c r="B111">
        <f>IF(OR(A111="",A111="AddToSystemPathes.bat.lnk"),"",COUNTIF(コマンド!B:B,プログラムリスト!A111))</f>
        <v>1</v>
      </c>
    </row>
    <row r="112" spans="1:2" hidden="1">
      <c r="A112" t="s">
        <v>27</v>
      </c>
      <c r="B112">
        <f>IF(OR(A112="",A112="AddToSystemPathes.bat.lnk"),"",COUNTIF(コマンド!B:B,プログラムリスト!A112))</f>
        <v>1</v>
      </c>
    </row>
    <row r="113" spans="1:2" hidden="1">
      <c r="A113" t="s">
        <v>201</v>
      </c>
      <c r="B113" t="str">
        <f>IF(OR(A113="",A113="AddToSystemPathes.bat.lnk"),"",COUNTIF(コマンド!B:B,プログラムリスト!A113))</f>
        <v/>
      </c>
    </row>
    <row r="114" spans="1:2" hidden="1">
      <c r="B114" t="str">
        <f>IF(OR(A114="",A114="AddToSystemPathes.bat.lnk"),"",COUNTIF(コマンド!B:B,プログラムリスト!A114))</f>
        <v/>
      </c>
    </row>
    <row r="115" spans="1:2" hidden="1">
      <c r="B115" t="str">
        <f>IF(OR(A115="",A115="AddToSystemPathes.bat.lnk"),"",COUNTIF(コマンド!B:B,プログラムリスト!A115))</f>
        <v/>
      </c>
    </row>
    <row r="116" spans="1:2" hidden="1">
      <c r="B116" t="str">
        <f>IF(OR(A116="",A116="AddToSystemPathes.bat.lnk"),"",COUNTIF(コマンド!B:B,プログラムリスト!A116))</f>
        <v/>
      </c>
    </row>
    <row r="117" spans="1:2" hidden="1">
      <c r="B117" t="str">
        <f>IF(OR(A117="",A117="AddToSystemPathes.bat.lnk"),"",COUNTIF(コマンド!B:B,プログラムリスト!A117))</f>
        <v/>
      </c>
    </row>
    <row r="118" spans="1:2" hidden="1">
      <c r="B118" t="str">
        <f>IF(OR(A118="",A118="AddToSystemPathes.bat.lnk"),"",COUNTIF(コマンド!B:B,プログラムリスト!A118))</f>
        <v/>
      </c>
    </row>
    <row r="119" spans="1:2" hidden="1">
      <c r="B119" t="str">
        <f>IF(OR(A119="",A119="AddToSystemPathes.bat.lnk"),"",COUNTIF(コマンド!B:B,プログラムリスト!A119))</f>
        <v/>
      </c>
    </row>
    <row r="120" spans="1:2" hidden="1">
      <c r="B120" t="str">
        <f>IF(OR(A120="",A120="AddToSystemPathes.bat.lnk"),"",COUNTIF(コマンド!B:B,プログラムリスト!A120))</f>
        <v/>
      </c>
    </row>
    <row r="121" spans="1:2" hidden="1">
      <c r="B121" t="str">
        <f>IF(OR(A121="",A121="AddToSystemPathes.bat.lnk"),"",COUNTIF(コマンド!B:B,プログラムリスト!A121))</f>
        <v/>
      </c>
    </row>
    <row r="122" spans="1:2" hidden="1">
      <c r="B122" t="str">
        <f>IF(OR(A122="",A122="AddToSystemPathes.bat.lnk"),"",COUNTIF(コマンド!B:B,プログラムリスト!A122))</f>
        <v/>
      </c>
    </row>
    <row r="123" spans="1:2" hidden="1">
      <c r="B123" t="str">
        <f>IF(OR(A123="",A123="AddToSystemPathes.bat.lnk"),"",COUNTIF(コマンド!B:B,プログラムリスト!A123))</f>
        <v/>
      </c>
    </row>
    <row r="124" spans="1:2" hidden="1">
      <c r="B124" t="str">
        <f>IF(OR(A124="",A124="AddToSystemPathes.bat.lnk"),"",COUNTIF(コマンド!B:B,プログラムリスト!A124))</f>
        <v/>
      </c>
    </row>
    <row r="125" spans="1:2" hidden="1">
      <c r="B125" t="str">
        <f>IF(OR(A125="",A125="AddToSystemPathes.bat.lnk"),"",COUNTIF(コマンド!B:B,プログラムリスト!A125))</f>
        <v/>
      </c>
    </row>
    <row r="126" spans="1:2" hidden="1">
      <c r="B126" t="str">
        <f>IF(OR(A126="",A126="AddToSystemPathes.bat.lnk"),"",COUNTIF(コマンド!B:B,プログラムリスト!A126))</f>
        <v/>
      </c>
    </row>
    <row r="127" spans="1:2" hidden="1">
      <c r="B127" t="str">
        <f>IF(OR(A127="",A127="AddToSystemPathes.bat.lnk"),"",COUNTIF(コマンド!B:B,プログラムリスト!A127))</f>
        <v/>
      </c>
    </row>
    <row r="128" spans="1:2" hidden="1">
      <c r="B128" t="str">
        <f>IF(OR(A128="",A128="AddToSystemPathes.bat.lnk"),"",COUNTIF(コマンド!B:B,プログラムリスト!A128))</f>
        <v/>
      </c>
    </row>
    <row r="129" spans="2:2" hidden="1">
      <c r="B129" t="str">
        <f>IF(OR(A129="",A129="AddToSystemPathes.bat.lnk"),"",COUNTIF(コマンド!B:B,プログラムリスト!A129))</f>
        <v/>
      </c>
    </row>
    <row r="130" spans="2:2" hidden="1">
      <c r="B130" t="str">
        <f>IF(OR(A130="",A130="AddToSystemPathes.bat.lnk"),"",COUNTIF(コマンド!B:B,プログラムリスト!A130))</f>
        <v/>
      </c>
    </row>
    <row r="131" spans="2:2" hidden="1">
      <c r="B131" t="str">
        <f>IF(OR(A131="",A131="AddToSystemPathes.bat.lnk"),"",COUNTIF(コマンド!B:B,プログラムリスト!A131))</f>
        <v/>
      </c>
    </row>
    <row r="132" spans="2:2" hidden="1">
      <c r="B132" t="str">
        <f>IF(OR(A132="",A132="AddToSystemPathes.bat.lnk"),"",COUNTIF(コマンド!B:B,プログラムリスト!A132))</f>
        <v/>
      </c>
    </row>
    <row r="133" spans="2:2" hidden="1">
      <c r="B133" t="str">
        <f>IF(OR(A133="",A133="AddToSystemPathes.bat.lnk"),"",COUNTIF(コマンド!B:B,プログラムリスト!A133))</f>
        <v/>
      </c>
    </row>
    <row r="134" spans="2:2" hidden="1">
      <c r="B134" t="str">
        <f>IF(OR(A134="",A134="AddToSystemPathes.bat.lnk"),"",COUNTIF(コマンド!B:B,プログラムリスト!A134))</f>
        <v/>
      </c>
    </row>
    <row r="135" spans="2:2" hidden="1">
      <c r="B135" t="str">
        <f>IF(OR(A135="",A135="AddToSystemPathes.bat.lnk"),"",COUNTIF(コマンド!B:B,プログラムリスト!A135))</f>
        <v/>
      </c>
    </row>
    <row r="136" spans="2:2" hidden="1">
      <c r="B136" t="str">
        <f>IF(OR(A136="",A136="AddToSystemPathes.bat.lnk"),"",COUNTIF(コマンド!B:B,プログラムリスト!A136))</f>
        <v/>
      </c>
    </row>
    <row r="137" spans="2:2" hidden="1">
      <c r="B137" t="str">
        <f>IF(OR(A137="",A137="AddToSystemPathes.bat.lnk"),"",COUNTIF(コマンド!B:B,プログラムリスト!A137))</f>
        <v/>
      </c>
    </row>
    <row r="138" spans="2:2" hidden="1">
      <c r="B138" t="str">
        <f>IF(OR(A138="",A138="AddToSystemPathes.bat.lnk"),"",COUNTIF(コマンド!B:B,プログラムリスト!A138))</f>
        <v/>
      </c>
    </row>
    <row r="139" spans="2:2" hidden="1">
      <c r="B139" t="str">
        <f>IF(OR(A139="",A139="AddToSystemPathes.bat.lnk"),"",COUNTIF(コマンド!B:B,プログラムリスト!A139))</f>
        <v/>
      </c>
    </row>
    <row r="140" spans="2:2" hidden="1">
      <c r="B140" t="str">
        <f>IF(OR(A140="",A140="AddToSystemPathes.bat.lnk"),"",COUNTIF(コマンド!B:B,プログラムリスト!A140))</f>
        <v/>
      </c>
    </row>
    <row r="141" spans="2:2" hidden="1">
      <c r="B141" t="str">
        <f>IF(OR(A141="",A141="AddToSystemPathes.bat.lnk"),"",COUNTIF(コマンド!B:B,プログラムリスト!A141))</f>
        <v/>
      </c>
    </row>
    <row r="142" spans="2:2" hidden="1">
      <c r="B142" t="str">
        <f>IF(OR(A142="",A142="AddToSystemPathes.bat.lnk"),"",COUNTIF(コマンド!B:B,プログラムリスト!A142))</f>
        <v/>
      </c>
    </row>
    <row r="143" spans="2:2" hidden="1">
      <c r="B143" t="str">
        <f>IF(OR(A143="",A143="AddToSystemPathes.bat.lnk"),"",COUNTIF(コマンド!B:B,プログラムリスト!A143))</f>
        <v/>
      </c>
    </row>
    <row r="144" spans="2:2" hidden="1">
      <c r="B144" t="str">
        <f>IF(OR(A144="",A144="AddToSystemPathes.bat.lnk"),"",COUNTIF(コマンド!B:B,プログラムリスト!A144))</f>
        <v/>
      </c>
    </row>
    <row r="145" spans="2:2" hidden="1">
      <c r="B145" t="str">
        <f>IF(OR(A145="",A145="AddToSystemPathes.bat.lnk"),"",COUNTIF(コマンド!B:B,プログラムリスト!A145))</f>
        <v/>
      </c>
    </row>
    <row r="146" spans="2:2" hidden="1">
      <c r="B146" t="str">
        <f>IF(OR(A146="",A146="AddToSystemPathes.bat.lnk"),"",COUNTIF(コマンド!B:B,プログラムリスト!A146))</f>
        <v/>
      </c>
    </row>
    <row r="147" spans="2:2" hidden="1">
      <c r="B147" t="str">
        <f>IF(OR(A147="",A147="AddToSystemPathes.bat.lnk"),"",COUNTIF(コマンド!B:B,プログラムリスト!A147))</f>
        <v/>
      </c>
    </row>
    <row r="148" spans="2:2" hidden="1">
      <c r="B148" t="str">
        <f>IF(OR(A148="",A148="AddToSystemPathes.bat.lnk"),"",COUNTIF(コマンド!B:B,プログラムリスト!A148))</f>
        <v/>
      </c>
    </row>
    <row r="149" spans="2:2" hidden="1">
      <c r="B149" t="str">
        <f>IF(OR(A149="",A149="AddToSystemPathes.bat.lnk"),"",COUNTIF(コマンド!B:B,プログラムリスト!A149))</f>
        <v/>
      </c>
    </row>
    <row r="150" spans="2:2" hidden="1">
      <c r="B150" t="str">
        <f>IF(OR(A150="",A150="AddToSystemPathes.bat.lnk"),"",COUNTIF(コマンド!B:B,プログラムリスト!A150))</f>
        <v/>
      </c>
    </row>
    <row r="151" spans="2:2" hidden="1">
      <c r="B151" t="str">
        <f>IF(OR(A151="",A151="AddToSystemPathes.bat.lnk"),"",COUNTIF(コマンド!B:B,プログラムリスト!A151))</f>
        <v/>
      </c>
    </row>
    <row r="152" spans="2:2" hidden="1">
      <c r="B152" t="str">
        <f>IF(OR(A152="",A152="AddToSystemPathes.bat.lnk"),"",COUNTIF(コマンド!B:B,プログラムリスト!A152))</f>
        <v/>
      </c>
    </row>
    <row r="153" spans="2:2" hidden="1">
      <c r="B153" t="str">
        <f>IF(OR(A153="",A153="AddToSystemPathes.bat.lnk"),"",COUNTIF(コマンド!B:B,プログラムリスト!A153))</f>
        <v/>
      </c>
    </row>
    <row r="154" spans="2:2" hidden="1">
      <c r="B154" t="str">
        <f>IF(OR(A154="",A154="AddToSystemPathes.bat.lnk"),"",COUNTIF(コマンド!B:B,プログラムリスト!A154))</f>
        <v/>
      </c>
    </row>
    <row r="155" spans="2:2" hidden="1">
      <c r="B155" t="str">
        <f>IF(OR(A155="",A155="AddToSystemPathes.bat.lnk"),"",COUNTIF(コマンド!B:B,プログラムリスト!A155))</f>
        <v/>
      </c>
    </row>
    <row r="156" spans="2:2" hidden="1">
      <c r="B156" t="str">
        <f>IF(OR(A156="",A156="AddToSystemPathes.bat.lnk"),"",COUNTIF(コマンド!B:B,プログラムリスト!A156))</f>
        <v/>
      </c>
    </row>
    <row r="157" spans="2:2" hidden="1">
      <c r="B157" t="str">
        <f>IF(OR(A157="",A157="AddToSystemPathes.bat.lnk"),"",COUNTIF(コマンド!B:B,プログラムリスト!A157))</f>
        <v/>
      </c>
    </row>
    <row r="158" spans="2:2" hidden="1">
      <c r="B158" t="str">
        <f>IF(OR(A158="",A158="AddToSystemPathes.bat.lnk"),"",COUNTIF(コマンド!B:B,プログラムリスト!A158))</f>
        <v/>
      </c>
    </row>
    <row r="159" spans="2:2" hidden="1">
      <c r="B159" t="str">
        <f>IF(OR(A159="",A159="AddToSystemPathes.bat.lnk"),"",COUNTIF(コマンド!B:B,プログラムリスト!A159))</f>
        <v/>
      </c>
    </row>
    <row r="160" spans="2:2" hidden="1">
      <c r="B160" t="str">
        <f>IF(OR(A160="",A160="AddToSystemPathes.bat.lnk"),"",COUNTIF(コマンド!B:B,プログラムリスト!A160))</f>
        <v/>
      </c>
    </row>
    <row r="161" spans="2:2" hidden="1">
      <c r="B161" t="str">
        <f>IF(OR(A161="",A161="AddToSystemPathes.bat.lnk"),"",COUNTIF(コマンド!B:B,プログラムリスト!A161))</f>
        <v/>
      </c>
    </row>
    <row r="162" spans="2:2" hidden="1">
      <c r="B162" t="str">
        <f>IF(OR(A162="",A162="AddToSystemPathes.bat.lnk"),"",COUNTIF(コマンド!B:B,プログラムリスト!A162))</f>
        <v/>
      </c>
    </row>
    <row r="163" spans="2:2" hidden="1">
      <c r="B163" t="str">
        <f>IF(OR(A163="",A163="AddToSystemPathes.bat.lnk"),"",COUNTIF(コマンド!B:B,プログラムリスト!A163))</f>
        <v/>
      </c>
    </row>
    <row r="164" spans="2:2" hidden="1">
      <c r="B164" t="str">
        <f>IF(OR(A164="",A164="AddToSystemPathes.bat.lnk"),"",COUNTIF(コマンド!B:B,プログラムリスト!A164))</f>
        <v/>
      </c>
    </row>
    <row r="165" spans="2:2" hidden="1">
      <c r="B165" t="str">
        <f>IF(OR(A165="",A165="AddToSystemPathes.bat.lnk"),"",COUNTIF(コマンド!B:B,プログラムリスト!A165))</f>
        <v/>
      </c>
    </row>
    <row r="166" spans="2:2" hidden="1">
      <c r="B166" t="str">
        <f>IF(OR(A166="",A166="AddToSystemPathes.bat.lnk"),"",COUNTIF(コマンド!B:B,プログラムリスト!A166))</f>
        <v/>
      </c>
    </row>
    <row r="167" spans="2:2" hidden="1">
      <c r="B167" t="str">
        <f>IF(OR(A167="",A167="AddToSystemPathes.bat.lnk"),"",COUNTIF(コマンド!B:B,プログラムリスト!A167))</f>
        <v/>
      </c>
    </row>
    <row r="168" spans="2:2" hidden="1">
      <c r="B168" t="str">
        <f>IF(OR(A168="",A168="AddToSystemPathes.bat.lnk"),"",COUNTIF(コマンド!B:B,プログラムリスト!A168))</f>
        <v/>
      </c>
    </row>
    <row r="169" spans="2:2" hidden="1">
      <c r="B169" t="str">
        <f>IF(OR(A169="",A169="AddToSystemPathes.bat.lnk"),"",COUNTIF(コマンド!B:B,プログラムリスト!A169))</f>
        <v/>
      </c>
    </row>
    <row r="170" spans="2:2" hidden="1">
      <c r="B170" t="str">
        <f>IF(OR(A170="",A170="AddToSystemPathes.bat.lnk"),"",COUNTIF(コマンド!B:B,プログラムリスト!A170))</f>
        <v/>
      </c>
    </row>
    <row r="171" spans="2:2" hidden="1">
      <c r="B171" t="str">
        <f>IF(OR(A171="",A171="AddToSystemPathes.bat.lnk"),"",COUNTIF(コマンド!B:B,プログラムリスト!A171))</f>
        <v/>
      </c>
    </row>
    <row r="172" spans="2:2" hidden="1">
      <c r="B172" t="str">
        <f>IF(OR(A172="",A172="AddToSystemPathes.bat.lnk"),"",COUNTIF(コマンド!B:B,プログラムリスト!A172))</f>
        <v/>
      </c>
    </row>
    <row r="173" spans="2:2" hidden="1">
      <c r="B173" t="str">
        <f>IF(OR(A173="",A173="AddToSystemPathes.bat.lnk"),"",COUNTIF(コマンド!B:B,プログラムリスト!A173))</f>
        <v/>
      </c>
    </row>
    <row r="174" spans="2:2" hidden="1">
      <c r="B174" t="str">
        <f>IF(OR(A174="",A174="AddToSystemPathes.bat.lnk"),"",COUNTIF(コマンド!B:B,プログラムリスト!A174))</f>
        <v/>
      </c>
    </row>
    <row r="175" spans="2:2" hidden="1">
      <c r="B175" t="str">
        <f>IF(OR(A175="",A175="AddToSystemPathes.bat.lnk"),"",COUNTIF(コマンド!B:B,プログラムリスト!A175))</f>
        <v/>
      </c>
    </row>
    <row r="176" spans="2:2" hidden="1">
      <c r="B176" t="str">
        <f>IF(OR(A176="",A176="AddToSystemPathes.bat.lnk"),"",COUNTIF(コマンド!B:B,プログラムリスト!A176))</f>
        <v/>
      </c>
    </row>
    <row r="177" spans="2:2" hidden="1">
      <c r="B177" t="str">
        <f>IF(OR(A177="",A177="AddToSystemPathes.bat.lnk"),"",COUNTIF(コマンド!B:B,プログラムリスト!A177))</f>
        <v/>
      </c>
    </row>
    <row r="178" spans="2:2" hidden="1">
      <c r="B178" t="str">
        <f>IF(OR(A178="",A178="AddToSystemPathes.bat.lnk"),"",COUNTIF(コマンド!B:B,プログラムリスト!A178))</f>
        <v/>
      </c>
    </row>
    <row r="179" spans="2:2" hidden="1">
      <c r="B179" t="str">
        <f>IF(OR(A179="",A179="AddToSystemPathes.bat.lnk"),"",COUNTIF(コマンド!B:B,プログラムリスト!A179))</f>
        <v/>
      </c>
    </row>
    <row r="180" spans="2:2" hidden="1">
      <c r="B180" t="str">
        <f>IF(OR(A180="",A180="AddToSystemPathes.bat.lnk"),"",COUNTIF(コマンド!B:B,プログラムリスト!A180))</f>
        <v/>
      </c>
    </row>
    <row r="181" spans="2:2" hidden="1">
      <c r="B181" t="str">
        <f>IF(OR(A181="",A181="AddToSystemPathes.bat.lnk"),"",COUNTIF(コマンド!B:B,プログラムリスト!A181))</f>
        <v/>
      </c>
    </row>
    <row r="182" spans="2:2" hidden="1">
      <c r="B182" t="str">
        <f>IF(OR(A182="",A182="AddToSystemPathes.bat.lnk"),"",COUNTIF(コマンド!B:B,プログラムリスト!A182))</f>
        <v/>
      </c>
    </row>
    <row r="183" spans="2:2" hidden="1">
      <c r="B183" t="str">
        <f>IF(OR(A183="",A183="AddToSystemPathes.bat.lnk"),"",COUNTIF(コマンド!B:B,プログラムリスト!A183))</f>
        <v/>
      </c>
    </row>
    <row r="184" spans="2:2" hidden="1">
      <c r="B184" t="str">
        <f>IF(OR(A184="",A184="AddToSystemPathes.bat.lnk"),"",COUNTIF(コマンド!B:B,プログラムリスト!A184))</f>
        <v/>
      </c>
    </row>
    <row r="185" spans="2:2" hidden="1">
      <c r="B185" t="str">
        <f>IF(OR(A185="",A185="AddToSystemPathes.bat.lnk"),"",COUNTIF(コマンド!B:B,プログラムリスト!A185))</f>
        <v/>
      </c>
    </row>
    <row r="186" spans="2:2" hidden="1">
      <c r="B186" t="str">
        <f>IF(OR(A186="",A186="AddToSystemPathes.bat.lnk"),"",COUNTIF(コマンド!B:B,プログラムリスト!A186))</f>
        <v/>
      </c>
    </row>
    <row r="187" spans="2:2" hidden="1">
      <c r="B187" t="str">
        <f>IF(OR(A187="",A187="AddToSystemPathes.bat.lnk"),"",COUNTIF(コマンド!B:B,プログラムリスト!A187))</f>
        <v/>
      </c>
    </row>
    <row r="188" spans="2:2" hidden="1">
      <c r="B188" t="str">
        <f>IF(OR(A188="",A188="AddToSystemPathes.bat.lnk"),"",COUNTIF(コマンド!B:B,プログラムリスト!A188))</f>
        <v/>
      </c>
    </row>
    <row r="189" spans="2:2" hidden="1">
      <c r="B189" t="str">
        <f>IF(OR(A189="",A189="AddToSystemPathes.bat.lnk"),"",COUNTIF(コマンド!B:B,プログラムリスト!A189))</f>
        <v/>
      </c>
    </row>
    <row r="190" spans="2:2" hidden="1">
      <c r="B190" t="str">
        <f>IF(OR(A190="",A190="AddToSystemPathes.bat.lnk"),"",COUNTIF(コマンド!B:B,プログラムリスト!A190))</f>
        <v/>
      </c>
    </row>
    <row r="191" spans="2:2" hidden="1">
      <c r="B191" t="str">
        <f>IF(OR(A191="",A191="AddToSystemPathes.bat.lnk"),"",COUNTIF(コマンド!B:B,プログラムリスト!A191))</f>
        <v/>
      </c>
    </row>
    <row r="192" spans="2:2" hidden="1">
      <c r="B192" t="str">
        <f>IF(OR(A192="",A192="AddToSystemPathes.bat.lnk"),"",COUNTIF(コマンド!B:B,プログラムリスト!A192))</f>
        <v/>
      </c>
    </row>
    <row r="193" spans="2:2" hidden="1">
      <c r="B193" t="str">
        <f>IF(OR(A193="",A193="AddToSystemPathes.bat.lnk"),"",COUNTIF(コマンド!B:B,プログラムリスト!A193))</f>
        <v/>
      </c>
    </row>
    <row r="194" spans="2:2" hidden="1">
      <c r="B194" t="str">
        <f>IF(OR(A194="",A194="AddToSystemPathes.bat.lnk"),"",COUNTIF(コマンド!B:B,プログラムリスト!A194))</f>
        <v/>
      </c>
    </row>
    <row r="195" spans="2:2" hidden="1">
      <c r="B195" t="str">
        <f>IF(OR(A195="",A195="AddToSystemPathes.bat.lnk"),"",COUNTIF(コマンド!B:B,プログラムリスト!A195))</f>
        <v/>
      </c>
    </row>
    <row r="196" spans="2:2" hidden="1">
      <c r="B196" t="str">
        <f>IF(OR(A196="",A196="AddToSystemPathes.bat.lnk"),"",COUNTIF(コマンド!B:B,プログラムリスト!A196))</f>
        <v/>
      </c>
    </row>
    <row r="197" spans="2:2" hidden="1">
      <c r="B197" t="str">
        <f>IF(OR(A197="",A197="AddToSystemPathes.bat.lnk"),"",COUNTIF(コマンド!B:B,プログラムリスト!A197))</f>
        <v/>
      </c>
    </row>
    <row r="198" spans="2:2" hidden="1">
      <c r="B198" t="str">
        <f>IF(OR(A198="",A198="AddToSystemPathes.bat.lnk"),"",COUNTIF(コマンド!B:B,プログラムリスト!A198))</f>
        <v/>
      </c>
    </row>
    <row r="199" spans="2:2" hidden="1">
      <c r="B199" t="str">
        <f>IF(OR(A199="",A199="AddToSystemPathes.bat.lnk"),"",COUNTIF(コマンド!B:B,プログラムリスト!A199))</f>
        <v/>
      </c>
    </row>
    <row r="200" spans="2:2" hidden="1">
      <c r="B200" t="str">
        <f>IF(OR(A200="",A200="AddToSystemPathes.bat.lnk"),"",COUNTIF(コマンド!B:B,プログラムリスト!A200))</f>
        <v/>
      </c>
    </row>
    <row r="201" spans="2:2" hidden="1">
      <c r="B201" t="str">
        <f>IF(OR(A201="",A201="AddToSystemPathes.bat.lnk"),"",COUNTIF(コマンド!B:B,プログラムリスト!A201))</f>
        <v/>
      </c>
    </row>
  </sheetData>
  <autoFilter ref="A1:B201" xr:uid="{E42D0B8C-36CA-4879-BA68-A572AA9B4A65}">
    <filterColumn colId="1">
      <filters>
        <filter val="0"/>
      </filters>
    </filterColumn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2023-03-30T08:25:23Z</dcterms:modified>
</cp:coreProperties>
</file>